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 Read Me First" sheetId="1" state="visible" r:id="rId1"/>
    <sheet name="01a - Rivet vs Market" sheetId="2" state="visible" r:id="rId2"/>
    <sheet name="01b - Scorecard Summary" sheetId="3" state="visible" r:id="rId3"/>
    <sheet name="02 - The Three Rings" sheetId="4" state="visible" r:id="rId4"/>
    <sheet name="03 - Competitor Deep-Dives" sheetId="5" state="visible" r:id="rId5"/>
    <sheet name="04 - What We Built (Evidence)" sheetId="6" state="visible" r:id="rId6"/>
    <sheet name="05 - Market Size &amp; GTM" sheetId="7" state="visible" r:id="rId7"/>
    <sheet name="06 - Roadmap" sheetId="8" state="visible" r:id="rId8"/>
    <sheet name="07 - Risks" sheetId="9" state="visible" r:id="rId9"/>
    <sheet name="08 - Sources" sheetId="10" state="visible" r:id="rId10"/>
    <sheet name="09 - KPI Dashboard"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
  </numFmts>
  <fonts count="19">
    <font>
      <name val="Calibri"/>
      <family val="2"/>
      <color theme="1"/>
      <sz val="11"/>
      <scheme val="minor"/>
    </font>
    <font>
      <name val="Georgia"/>
      <b val="1"/>
      <color rgb="00FFFFFF"/>
      <sz val="16"/>
    </font>
    <font>
      <name val="Georgia"/>
      <b val="1"/>
      <color rgb="00E8EAF6"/>
      <sz val="11"/>
    </font>
    <font>
      <name val="Georgia"/>
      <b val="1"/>
      <sz val="11"/>
    </font>
    <font>
      <name val="Georgia"/>
      <sz val="11"/>
    </font>
    <font>
      <name val="Georgia"/>
      <b val="1"/>
      <color rgb="00FFFFFF"/>
      <sz val="11"/>
    </font>
    <font>
      <name val="Georgia"/>
      <b val="1"/>
      <color rgb="00FFFFFF"/>
      <sz val="11.5"/>
    </font>
    <font>
      <name val="Georgia"/>
      <sz val="10"/>
    </font>
    <font>
      <name val="Georgia"/>
      <b val="1"/>
      <sz val="10.5"/>
    </font>
    <font>
      <name val="Georgia"/>
      <i val="1"/>
      <color rgb="007F6000"/>
      <sz val="10"/>
    </font>
    <font>
      <name val="Georgia"/>
      <family val="2"/>
      <color theme="1"/>
      <sz val="11"/>
      <scheme val="minor"/>
    </font>
    <font>
      <name val="Georgia"/>
      <b val="1"/>
    </font>
    <font>
      <name val="Georgia"/>
      <b val="1"/>
      <color rgb="001E7E34"/>
      <sz val="11"/>
    </font>
    <font>
      <name val="Georgia"/>
      <sz val="10.5"/>
    </font>
    <font>
      <name val="Georgia"/>
      <b val="1"/>
      <sz val="10"/>
    </font>
    <font>
      <name val="Georgia"/>
      <color rgb="000000FF"/>
      <sz val="10.5"/>
    </font>
    <font>
      <name val="Georgia"/>
      <i val="1"/>
      <color rgb="00666666"/>
      <sz val="9.5"/>
    </font>
    <font>
      <name val="Georgia"/>
      <b val="1"/>
      <color rgb="00FFFFFF"/>
      <sz val="12"/>
    </font>
    <font>
      <name val="Georgia"/>
      <b val="1"/>
      <color rgb="001E7E34"/>
      <sz val="10"/>
    </font>
  </fonts>
  <fills count="17">
    <fill>
      <patternFill/>
    </fill>
    <fill>
      <patternFill patternType="gray125"/>
    </fill>
    <fill>
      <patternFill patternType="solid">
        <fgColor rgb="0013212B"/>
      </patternFill>
    </fill>
    <fill>
      <patternFill patternType="solid">
        <fgColor rgb="00243441"/>
      </patternFill>
    </fill>
    <fill>
      <patternFill patternType="solid">
        <fgColor rgb="00F3F3F3"/>
      </patternFill>
    </fill>
    <fill>
      <patternFill patternType="solid">
        <fgColor rgb="003D5468"/>
      </patternFill>
    </fill>
    <fill>
      <patternFill patternType="solid">
        <fgColor rgb="00FFF2CC"/>
      </patternFill>
    </fill>
    <fill>
      <patternFill patternType="solid">
        <fgColor rgb="00E8EAF6"/>
      </patternFill>
    </fill>
    <fill>
      <patternFill patternType="solid">
        <fgColor rgb="00D9EAD3"/>
      </patternFill>
    </fill>
    <fill>
      <patternFill patternType="solid">
        <fgColor rgb="00FFFDF0"/>
      </patternFill>
    </fill>
    <fill>
      <patternFill patternType="solid">
        <fgColor rgb="00FDE9D9"/>
      </patternFill>
    </fill>
    <fill>
      <patternFill patternType="solid">
        <fgColor rgb="00F9CB9C"/>
      </patternFill>
    </fill>
    <fill>
      <patternFill patternType="solid">
        <fgColor rgb="00F4CCCC"/>
      </patternFill>
    </fill>
    <fill>
      <patternFill patternType="solid">
        <fgColor rgb="00EA9999"/>
      </patternFill>
    </fill>
    <fill>
      <patternFill patternType="solid">
        <fgColor rgb="00FCE5CD"/>
      </patternFill>
    </fill>
    <fill>
      <patternFill patternType="solid">
        <fgColor rgb="00EAD1DC"/>
      </patternFill>
    </fill>
    <fill>
      <patternFill patternType="solid">
        <fgColor rgb="00D9D2E9"/>
      </patternFill>
    </fill>
  </fills>
  <borders count="6">
    <border>
      <left/>
      <right/>
      <top/>
      <bottom/>
      <diagonal/>
    </border>
    <border>
      <left style="thin">
        <color rgb="00C9CFD6"/>
      </left>
      <right style="thin">
        <color rgb="00C9CFD6"/>
      </right>
      <top style="thin">
        <color rgb="00C9CFD6"/>
      </top>
      <bottom style="thin">
        <color rgb="00C9CFD6"/>
      </bottom>
    </border>
    <border>
      <left/>
      <right/>
      <top style="thin">
        <color rgb="00C9CFD6"/>
      </top>
      <bottom/>
      <diagonal/>
    </border>
    <border>
      <left/>
      <right style="thin">
        <color rgb="00C9CFD6"/>
      </right>
      <top style="thin">
        <color rgb="00C9CFD6"/>
      </top>
      <bottom/>
      <diagonal/>
    </border>
    <border>
      <left/>
      <right style="thin">
        <color rgb="00C9CFD6"/>
      </right>
      <top style="thin">
        <color rgb="00C9CFD6"/>
      </top>
      <bottom style="thin">
        <color rgb="00C9CFD6"/>
      </bottom>
      <diagonal/>
    </border>
    <border>
      <left/>
      <right/>
      <top style="thin">
        <color rgb="00C9CFD6"/>
      </top>
      <bottom style="thin">
        <color rgb="00C9CFD6"/>
      </bottom>
      <diagonal/>
    </border>
  </borders>
  <cellStyleXfs count="1">
    <xf numFmtId="0" fontId="0" fillId="0" borderId="0"/>
  </cellStyleXfs>
  <cellXfs count="6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5" fillId="2" borderId="1" applyAlignment="1" pivotButton="0" quotePrefix="0" xfId="0">
      <alignment horizontal="center" vertical="center" wrapText="1"/>
    </xf>
    <xf numFmtId="0" fontId="6" fillId="5" borderId="0" applyAlignment="1" pivotButton="0" quotePrefix="0" xfId="0">
      <alignment vertical="center"/>
    </xf>
    <xf numFmtId="0" fontId="8" fillId="4" borderId="1" applyAlignment="1" pivotButton="0" quotePrefix="0" xfId="0">
      <alignment horizontal="left" vertical="top" wrapText="1"/>
    </xf>
    <xf numFmtId="0" fontId="7" fillId="0" borderId="1" applyAlignment="1" pivotButton="0" quotePrefix="0" xfId="0">
      <alignment horizontal="center" vertical="top" wrapText="1"/>
    </xf>
    <xf numFmtId="0" fontId="8" fillId="6" borderId="1" applyAlignment="1" pivotButton="0" quotePrefix="0" xfId="0">
      <alignment horizontal="center" vertical="top" wrapText="1"/>
    </xf>
    <xf numFmtId="0" fontId="7" fillId="7" borderId="1" applyAlignment="1" pivotButton="0" quotePrefix="0" xfId="0">
      <alignment horizontal="left" vertical="top" wrapText="1"/>
    </xf>
    <xf numFmtId="0" fontId="7" fillId="0" borderId="1" applyAlignment="1" pivotButton="0" quotePrefix="0" xfId="0">
      <alignment horizontal="left" vertical="top" wrapText="1"/>
    </xf>
    <xf numFmtId="0" fontId="8" fillId="8" borderId="1" applyAlignment="1" pivotButton="0" quotePrefix="0" xfId="0">
      <alignment horizontal="center" vertical="top" wrapText="1"/>
    </xf>
    <xf numFmtId="0" fontId="9" fillId="9" borderId="1" applyAlignment="1" pivotButton="0" quotePrefix="0" xfId="0">
      <alignment horizontal="left" vertical="top" wrapText="1"/>
    </xf>
    <xf numFmtId="0" fontId="8" fillId="10" borderId="1" applyAlignment="1" pivotButton="0" quotePrefix="0" xfId="0">
      <alignment horizontal="center" vertical="top" wrapText="1"/>
    </xf>
    <xf numFmtId="0" fontId="8" fillId="11" borderId="1" applyAlignment="1" pivotButton="0" quotePrefix="0" xfId="0">
      <alignment horizontal="center" vertical="top" wrapText="1"/>
    </xf>
    <xf numFmtId="0" fontId="8" fillId="12" borderId="1" applyAlignment="1" pivotButton="0" quotePrefix="0" xfId="0">
      <alignment horizontal="center" vertical="top" wrapText="1"/>
    </xf>
    <xf numFmtId="0" fontId="8" fillId="13" borderId="1" applyAlignment="1" pivotButton="0" quotePrefix="0" xfId="0">
      <alignment horizontal="center" vertical="top" wrapText="1"/>
    </xf>
    <xf numFmtId="0" fontId="3" fillId="0" borderId="1" applyAlignment="1" pivotButton="0" quotePrefix="0" xfId="0">
      <alignment horizontal="left"/>
    </xf>
    <xf numFmtId="0" fontId="10" fillId="0" borderId="1" applyAlignment="1" pivotButton="0" quotePrefix="0" xfId="0">
      <alignment horizontal="center"/>
    </xf>
    <xf numFmtId="164" fontId="10" fillId="0" borderId="1" applyAlignment="1" pivotButton="0" quotePrefix="0" xfId="0">
      <alignment horizontal="center"/>
    </xf>
    <xf numFmtId="0" fontId="11" fillId="6" borderId="1" applyAlignment="1" pivotButton="0" quotePrefix="0" xfId="0">
      <alignment horizontal="center"/>
    </xf>
    <xf numFmtId="164" fontId="11" fillId="6" borderId="1" applyAlignment="1" pivotButton="0" quotePrefix="0" xfId="0">
      <alignment horizontal="center"/>
    </xf>
    <xf numFmtId="0" fontId="12" fillId="0" borderId="1" pivotButton="0" quotePrefix="0" xfId="0"/>
    <xf numFmtId="0" fontId="0" fillId="0"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13" fillId="0" borderId="1" applyAlignment="1" pivotButton="0" quotePrefix="0" xfId="0">
      <alignment vertical="top" wrapText="1"/>
    </xf>
    <xf numFmtId="0" fontId="13" fillId="7" borderId="1" applyAlignment="1" pivotButton="0" quotePrefix="0" xfId="0">
      <alignment vertical="top" wrapText="1"/>
    </xf>
    <xf numFmtId="0" fontId="14" fillId="4" borderId="1" applyAlignment="1" pivotButton="0" quotePrefix="0" xfId="0">
      <alignment vertical="top" wrapText="1"/>
    </xf>
    <xf numFmtId="0" fontId="9" fillId="9" borderId="1" applyAlignment="1" pivotButton="0" quotePrefix="0" xfId="0">
      <alignment vertical="top" wrapText="1"/>
    </xf>
    <xf numFmtId="0" fontId="14" fillId="0" borderId="1" applyAlignment="1" pivotButton="0" quotePrefix="0" xfId="0">
      <alignment vertical="top" wrapText="1"/>
    </xf>
    <xf numFmtId="0" fontId="7" fillId="7" borderId="1" applyAlignment="1" pivotButton="0" quotePrefix="0" xfId="0">
      <alignment vertical="top" wrapText="1"/>
    </xf>
    <xf numFmtId="0" fontId="14" fillId="8" borderId="1" applyAlignment="1" pivotButton="0" quotePrefix="0" xfId="0">
      <alignment vertical="top" wrapText="1"/>
    </xf>
    <xf numFmtId="0" fontId="14" fillId="6" borderId="1" applyAlignment="1" pivotButton="0" quotePrefix="0" xfId="0">
      <alignment vertical="top" wrapText="1"/>
    </xf>
    <xf numFmtId="0" fontId="15" fillId="0" borderId="1" pivotButton="0" quotePrefix="0" xfId="0"/>
    <xf numFmtId="0" fontId="16" fillId="0" borderId="1" applyAlignment="1" pivotButton="0" quotePrefix="0" xfId="0">
      <alignment vertical="top" wrapText="1"/>
    </xf>
    <xf numFmtId="164" fontId="15" fillId="0" borderId="1" pivotButton="0" quotePrefix="0" xfId="0"/>
    <xf numFmtId="165" fontId="3" fillId="0" borderId="1" pivotButton="0" quotePrefix="0" xfId="0"/>
    <xf numFmtId="166" fontId="3" fillId="0" borderId="1" pivotButton="0" quotePrefix="0" xfId="0"/>
    <xf numFmtId="166" fontId="13" fillId="0" borderId="1" pivotButton="0" quotePrefix="0" xfId="0"/>
    <xf numFmtId="0" fontId="17" fillId="3" borderId="0" pivotButton="0" quotePrefix="0" xfId="0"/>
    <xf numFmtId="0" fontId="13" fillId="0" borderId="0" applyAlignment="1" pivotButton="0" quotePrefix="0" xfId="0">
      <alignment vertical="top" wrapText="1"/>
    </xf>
    <xf numFmtId="0" fontId="14" fillId="10" borderId="1" applyAlignment="1" pivotButton="0" quotePrefix="0" xfId="0">
      <alignment vertical="top" wrapText="1"/>
    </xf>
    <xf numFmtId="0" fontId="14" fillId="14" borderId="1" applyAlignment="1" pivotButton="0" quotePrefix="0" xfId="0">
      <alignment vertical="top" wrapText="1"/>
    </xf>
    <xf numFmtId="0" fontId="14" fillId="12" borderId="1" applyAlignment="1" pivotButton="0" quotePrefix="0" xfId="0">
      <alignment vertical="top" wrapText="1"/>
    </xf>
    <xf numFmtId="0" fontId="14" fillId="15" borderId="1" applyAlignment="1" pivotButton="0" quotePrefix="0" xfId="0">
      <alignment vertical="top" wrapText="1"/>
    </xf>
    <xf numFmtId="0" fontId="14" fillId="16" borderId="1" applyAlignment="1" pivotButton="0" quotePrefix="0" xfId="0">
      <alignment vertical="top" wrapText="1"/>
    </xf>
    <xf numFmtId="0" fontId="13" fillId="0" borderId="1" applyAlignment="1" pivotButton="0" quotePrefix="0" xfId="0">
      <alignment horizontal="center" vertical="top"/>
    </xf>
    <xf numFmtId="0" fontId="13" fillId="13" borderId="1" applyAlignment="1" pivotButton="0" quotePrefix="0" xfId="0">
      <alignment horizontal="center" vertical="top"/>
    </xf>
    <xf numFmtId="0" fontId="13" fillId="6" borderId="1" applyAlignment="1" pivotButton="0" quotePrefix="0" xfId="0">
      <alignment horizontal="center" vertical="top"/>
    </xf>
    <xf numFmtId="0" fontId="13" fillId="11" borderId="1" applyAlignment="1" pivotButton="0" quotePrefix="0" xfId="0">
      <alignment horizontal="center" vertical="top"/>
    </xf>
    <xf numFmtId="0" fontId="0" fillId="0" borderId="4" pivotButton="0" quotePrefix="0" xfId="0"/>
    <xf numFmtId="0" fontId="0" fillId="0" borderId="5" pivotButton="0" quotePrefix="0" xfId="0"/>
    <xf numFmtId="0" fontId="7" fillId="4" borderId="1" applyAlignment="1" pivotButton="0" quotePrefix="0" xfId="0">
      <alignment vertical="top" wrapText="1"/>
    </xf>
    <xf numFmtId="0" fontId="8" fillId="4" borderId="1" applyAlignment="1" pivotButton="0" quotePrefix="0" xfId="0">
      <alignment vertical="top" wrapText="1"/>
    </xf>
    <xf numFmtId="0" fontId="13" fillId="12" borderId="1" applyAlignment="1" pivotButton="0" quotePrefix="0" xfId="0">
      <alignment vertical="top" wrapText="1"/>
    </xf>
    <xf numFmtId="0" fontId="13" fillId="6" borderId="1" applyAlignment="1" pivotButton="0" quotePrefix="0" xfId="0">
      <alignment vertical="top" wrapText="1"/>
    </xf>
    <xf numFmtId="0" fontId="13" fillId="8" borderId="1" applyAlignment="1" pivotButton="0" quotePrefix="0" xfId="0">
      <alignment vertical="top" wrapText="1"/>
    </xf>
    <xf numFmtId="0" fontId="1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20" customWidth="1" min="2" max="2"/>
  </cols>
  <sheetData>
    <row r="1" ht="30" customHeight="1">
      <c r="A1" s="1" t="inlineStr">
        <is>
          <t>Rivet x Crewline - Full Market Study &amp; End-to-End Gap Analysis</t>
        </is>
      </c>
    </row>
    <row r="2" ht="22" customHeight="1">
      <c r="A2" s="2" t="inlineStr">
        <is>
          <t>What exists today (verified in code + on the live site), where it lags the market, and exactly what turns it into a full-fledged startup. July 6, 2026.</t>
        </is>
      </c>
    </row>
    <row r="4" ht="48" customHeight="1">
      <c r="A4" s="3" t="inlineStr">
        <is>
          <t>How to read this</t>
        </is>
      </c>
      <c r="B4" s="4" t="inlineStr">
        <is>
          <t>Start with 01a (master comparison, one capability per row). 01b totals it. 02 defines the Three Rings. 03 profiles competitors. 04 is the evidence log of everything built so far. 05 sizes the market. 06 is the sprint-by-sprint roadmap. 07 is risks.</t>
        </is>
      </c>
    </row>
    <row r="5" ht="48" customHeight="1">
      <c r="A5" s="5" t="inlineStr">
        <is>
          <t>Status legend</t>
        </is>
      </c>
      <c r="B5" s="4" t="inlineStr">
        <is>
          <t>AHEAD (green) = better than typical market leaders. PARITY (yellow) = at par. PARTIAL (orange) = shipped but incomplete. BEHIND (red) = not shipped.</t>
        </is>
      </c>
    </row>
    <row r="6" ht="48" customHeight="1">
      <c r="A6" s="3" t="inlineStr">
        <is>
          <t>Gap legend</t>
        </is>
      </c>
      <c r="B6" s="4" t="inlineStr">
        <is>
          <t>Critical = blocks trust, revenue, or launch. High = blocks scale. Medium = competitive drag. Small = polish. None = no gap.</t>
        </is>
      </c>
    </row>
    <row r="7" ht="48" customHeight="1">
      <c r="A7" s="5" t="inlineStr">
        <is>
          <t>Method</t>
        </is>
      </c>
      <c r="B7" s="4" t="inlineStr">
        <is>
          <t>Product facts verified directly: code inspection, local end-to-end tests, and live probes of rivet-crewline.onrender.com (healthz diagnostics, signup flows). Nothing here is guessed.</t>
        </is>
      </c>
    </row>
    <row r="8" ht="48" customHeight="1">
      <c r="A8" s="3" t="inlineStr">
        <is>
          <t>Market data caveat</t>
        </is>
      </c>
      <c r="B8" s="4" t="inlineStr">
        <is>
          <t>Key figures verified via live web search on Jul 6, 2026: Instawork ($160M raised, 4M+ workers), Traba ($43.6M raised), ABC construction shortage (439,000 workers, 2025; 2026 projections range 350-500k). Remaining competitor figures are early-2026 knowledge - tab 08 lists every source and what is verified vs pending.</t>
        </is>
      </c>
    </row>
    <row r="9" ht="48" customHeight="1">
      <c r="A9" s="5" t="inlineStr">
        <is>
          <t>The one-line verdict</t>
        </is>
      </c>
      <c r="B9" s="4" t="inlineStr">
        <is>
          <t>UPDATED Jul 7: Ring 1 is ~90% done (email delivery now live). Ring 2 moved from ~25% to ~35% this week: credential review pipeline, admin panel, legal pages, account deletion all shipped. The remaining Critical gaps are business-side: payments (Stripe), background checks (Checkr), real users in one metro, and counsel-reviewed legal. Weighted readiness ~55%.</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workbookViewId="0">
      <pane ySplit="4" topLeftCell="A5" activePane="bottomLeft" state="frozen"/>
      <selection pane="bottomLeft" activeCell="A1" sqref="A1"/>
    </sheetView>
  </sheetViews>
  <sheetFormatPr baseColWidth="8" defaultRowHeight="15"/>
  <cols>
    <col width="36" customWidth="1" min="1" max="1"/>
    <col width="9" customWidth="1" min="2" max="2"/>
    <col width="12" customWidth="1" min="3" max="3"/>
    <col width="58" customWidth="1" min="4" max="4"/>
    <col width="24" customWidth="1" min="5" max="5"/>
    <col width="34" customWidth="1" min="6" max="6"/>
    <col width="20" customWidth="1" min="7" max="7"/>
    <col width="42" customWidth="1" min="8" max="8"/>
  </cols>
  <sheetData>
    <row r="1" ht="30" customHeight="1">
      <c r="A1" s="1" t="inlineStr">
        <is>
          <t>01a - Rivet x Crewline vs Market: the master comparison across every meaningful capability</t>
        </is>
      </c>
    </row>
    <row r="2" ht="22" customHeight="1">
      <c r="A2" s="2" t="inlineStr">
        <is>
          <t>Read top-to-bottom. Each row is one capability. We name the market leader, score Rivet against them, name the gap, and name the action. No hand-waving.</t>
        </is>
      </c>
    </row>
    <row r="4" ht="26" customHeight="1">
      <c r="A4" s="6" t="inlineStr">
        <is>
          <t>Capability</t>
        </is>
      </c>
      <c r="B4" s="6" t="inlineStr">
        <is>
          <t>Ring</t>
        </is>
      </c>
      <c r="C4" s="6" t="inlineStr">
        <is>
          <t>Rivet status</t>
        </is>
      </c>
      <c r="D4" s="6" t="inlineStr">
        <is>
          <t>Rivet detail (Jul 2026)</t>
        </is>
      </c>
      <c r="E4" s="6" t="inlineStr">
        <is>
          <t>Market leader</t>
        </is>
      </c>
      <c r="F4" s="6" t="inlineStr">
        <is>
          <t>What the leader ships</t>
        </is>
      </c>
      <c r="G4" s="6" t="inlineStr">
        <is>
          <t>Gap size</t>
        </is>
      </c>
      <c r="H4" s="6" t="inlineStr">
        <is>
          <t>Action / horizon</t>
        </is>
      </c>
    </row>
    <row r="5" ht="21" customHeight="1">
      <c r="A5" s="7" t="inlineStr">
        <is>
          <t>RING 1 - CORE MARKETPLACE: can a worker and an employer actually use it?  (verdict: ~85% done, several genuinely ahead-of-market pieces)</t>
        </is>
      </c>
    </row>
    <row r="6" ht="58" customHeight="1">
      <c r="A6" s="8" t="inlineStr">
        <is>
          <t>Email/password auth</t>
        </is>
      </c>
      <c r="B6" s="9" t="inlineStr">
        <is>
          <t>Ring 1</t>
        </is>
      </c>
      <c r="C6" s="10" t="inlineStr">
        <is>
          <t>Parity</t>
        </is>
      </c>
      <c r="D6" s="11" t="inlineStr">
        <is>
          <t>scrypt-hashed passwords, signed HttpOnly session cookies, login lockout (10 fails / 15 min / IP+email). Live.</t>
        </is>
      </c>
      <c r="E6" s="12" t="inlineStr">
        <is>
          <t>Everyone</t>
        </is>
      </c>
      <c r="F6" s="12" t="inlineStr">
        <is>
          <t>Table stakes.</t>
        </is>
      </c>
      <c r="G6" s="13" t="inlineStr">
        <is>
          <t>None</t>
        </is>
      </c>
      <c r="H6" s="14" t="inlineStr">
        <is>
          <t>Done. Maintain.</t>
        </is>
      </c>
    </row>
    <row r="7" ht="58" customHeight="1">
      <c r="A7" s="8" t="inlineStr">
        <is>
          <t>Email OTP verification at signup</t>
        </is>
      </c>
      <c r="B7" s="9" t="inlineStr">
        <is>
          <t>Ring 1</t>
        </is>
      </c>
      <c r="C7" s="10" t="inlineStr">
        <is>
          <t>Parity</t>
        </is>
      </c>
      <c r="D7" s="11" t="inlineStr">
        <is>
          <t>DONE &amp; LIVE (Jul 7): codes deliver via Brevo HTTPS API (Render firewalls SMTP - diagnosed and engineered around: dual-port self-heal + automatic API fallback). Enforced: no unverified account reaches the app.</t>
        </is>
      </c>
      <c r="E7" s="12" t="inlineStr">
        <is>
          <t>Indeed Flex, Instawork</t>
        </is>
      </c>
      <c r="F7" s="12" t="inlineStr">
        <is>
          <t>Verified contact at onboarding.</t>
        </is>
      </c>
      <c r="G7" s="13" t="inlineStr">
        <is>
          <t>None</t>
        </is>
      </c>
      <c r="H7" s="14" t="inlineStr">
        <is>
          <t>Done. Monitor Brevo quota (300/day free).</t>
        </is>
      </c>
    </row>
    <row r="8" ht="58" customHeight="1">
      <c r="A8" s="8" t="inlineStr">
        <is>
          <t>Google sign-in</t>
        </is>
      </c>
      <c r="B8" s="9" t="inlineStr">
        <is>
          <t>Ring 1</t>
        </is>
      </c>
      <c r="C8" s="10" t="inlineStr">
        <is>
          <t>Parity</t>
        </is>
      </c>
      <c r="D8" s="11" t="inlineStr">
        <is>
          <t>Live and verified on production (button renders, creds detected). Google-verified emails skip OTP.</t>
        </is>
      </c>
      <c r="E8" s="12" t="inlineStr">
        <is>
          <t>Everyone</t>
        </is>
      </c>
      <c r="F8" s="12" t="inlineStr">
        <is>
          <t>OAuth SSO.</t>
        </is>
      </c>
      <c r="G8" s="13" t="inlineStr">
        <is>
          <t>None</t>
        </is>
      </c>
      <c r="H8" s="14" t="inlineStr">
        <is>
          <t>Done.</t>
        </is>
      </c>
    </row>
    <row r="9" ht="58" customHeight="1">
      <c r="A9" s="8" t="inlineStr">
        <is>
          <t>Phone / SMS OTP login</t>
        </is>
      </c>
      <c r="B9" s="9" t="inlineStr">
        <is>
          <t>Ring 1</t>
        </is>
      </c>
      <c r="C9" s="15" t="inlineStr">
        <is>
          <t>Partial</t>
        </is>
      </c>
      <c r="D9" s="11" t="inlineStr">
        <is>
          <t>Twilio wired + detected on prod; login field accepts email OR mobile; rate-capped (3/hr/number). Twilio TRIAL account only texts verified numbers.</t>
        </is>
      </c>
      <c r="E9" s="12" t="inlineStr">
        <is>
          <t>Instawork, Wonolo</t>
        </is>
      </c>
      <c r="F9" s="12" t="inlineStr">
        <is>
          <t>Phone-first onboarding (their workers live on phones).</t>
        </is>
      </c>
      <c r="G9" s="10" t="inlineStr">
        <is>
          <t>Small</t>
        </is>
      </c>
      <c r="H9" s="14" t="inlineStr">
        <is>
          <t>Upgrade Twilio (~$1/mo + usage) at first real users. Day 0-30.</t>
        </is>
      </c>
    </row>
    <row r="10" ht="58" customHeight="1">
      <c r="A10" s="8" t="inlineStr">
        <is>
          <t>Worker profile ("Work Card")</t>
        </is>
      </c>
      <c r="B10" s="9" t="inlineStr">
        <is>
          <t>Ring 1</t>
        </is>
      </c>
      <c r="C10" s="10" t="inlineStr">
        <is>
          <t>Parity</t>
        </is>
      </c>
      <c r="D10" s="11" t="inlineStr">
        <is>
          <t>Multi-trade, headline/about (AI-drafted via Groq with $0 fallback), work history, portfolio media, skill checks, availability toggles, veteran/tools/transport flags.</t>
        </is>
      </c>
      <c r="E10" s="12" t="inlineStr">
        <is>
          <t>Instawork</t>
        </is>
      </c>
      <c r="F10" s="12" t="inlineStr">
        <is>
          <t>Rich worker profile w/ reliability stats.</t>
        </is>
      </c>
      <c r="G10" s="10" t="inlineStr">
        <is>
          <t>Small</t>
        </is>
      </c>
      <c r="H10" s="14" t="inlineStr">
        <is>
          <t>Polish; add profile completeness meter. 30d.</t>
        </is>
      </c>
    </row>
    <row r="11" ht="58" customHeight="1">
      <c r="A11" s="8" t="inlineStr">
        <is>
          <t>Conversational onboarding</t>
        </is>
      </c>
      <c r="B11" s="9" t="inlineStr">
        <is>
          <t>Ring 1</t>
        </is>
      </c>
      <c r="C11" s="13" t="inlineStr">
        <is>
          <t>Ahead</t>
        </is>
      </c>
      <c r="D11" s="11" t="inlineStr">
        <is>
          <t>Chat-style onboarding alternative + AI-drafted About. Few competitors ship this.</t>
        </is>
      </c>
      <c r="E11" s="12" t="inlineStr">
        <is>
          <t>-</t>
        </is>
      </c>
      <c r="F11" s="12" t="inlineStr">
        <is>
          <t>-</t>
        </is>
      </c>
      <c r="G11" s="13" t="inlineStr">
        <is>
          <t>None</t>
        </is>
      </c>
      <c r="H11" s="14" t="inlineStr">
        <is>
          <t>Keep. Quiet differentiator.</t>
        </is>
      </c>
    </row>
    <row r="12" ht="58" customHeight="1">
      <c r="A12" s="8" t="inlineStr">
        <is>
          <t>Matching engine</t>
        </is>
      </c>
      <c r="B12" s="9" t="inlineStr">
        <is>
          <t>Ring 1</t>
        </is>
      </c>
      <c r="C12" s="13" t="inlineStr">
        <is>
          <t>Ahead</t>
        </is>
      </c>
      <c r="D12" s="11" t="inlineStr">
        <is>
          <t>Live-computed scores: trade fit + adjacency, pay vs worker floor, distance tiers, verified-credential coverage; readiness score; weights in one file; 8 unit tests green.</t>
        </is>
      </c>
      <c r="E12" s="12" t="inlineStr">
        <is>
          <t>Instawork</t>
        </is>
      </c>
      <c r="F12" s="12" t="inlineStr">
        <is>
          <t>ML shift-fill ranking at scale.</t>
        </is>
      </c>
      <c r="G12" s="10" t="inlineStr">
        <is>
          <t>Small</t>
        </is>
      </c>
      <c r="H12" s="14" t="inlineStr">
        <is>
          <t>Add outcome feedback loop (hires retrain weights). 90d.</t>
        </is>
      </c>
    </row>
    <row r="13" ht="58" customHeight="1">
      <c r="A13" s="8" t="inlineStr">
        <is>
          <t>Real live job supply</t>
        </is>
      </c>
      <c r="B13" s="9" t="inlineStr">
        <is>
          <t>Ring 1</t>
        </is>
      </c>
      <c r="C13" s="13" t="inlineStr">
        <is>
          <t>Ahead</t>
        </is>
      </c>
      <c r="D13" s="11" t="inlineStr">
        <is>
          <t>4,800-6,700 REAL jobs ingested from ~40 public employer ATS feeds (Workday, Lever, Ashby, SmartRecruiters) with dedupe, freshness pruning, pay normalization, trade retagging. Self-refreshes every 6h. This is real, not seeded.</t>
        </is>
      </c>
      <c r="E13" s="12" t="inlineStr">
        <is>
          <t>Indeed (aggregation giant)</t>
        </is>
      </c>
      <c r="F13" s="12" t="inlineStr">
        <is>
          <t>Massive aggregation + employer network.</t>
        </is>
      </c>
      <c r="G13" s="16" t="inlineStr">
        <is>
          <t>Medium vs Indeed; AHEAD vs staffing apps</t>
        </is>
      </c>
      <c r="H13" s="14" t="inlineStr">
        <is>
          <t>Add employer claim-your-job flow -&gt; converts supply into paying customers. 60-90d.</t>
        </is>
      </c>
    </row>
    <row r="14" ht="58" customHeight="1">
      <c r="A14" s="8" t="inlineStr">
        <is>
          <t>Job detail w/ score transparency</t>
        </is>
      </c>
      <c r="B14" s="9" t="inlineStr">
        <is>
          <t>Ring 1</t>
        </is>
      </c>
      <c r="C14" s="13" t="inlineStr">
        <is>
          <t>Ahead</t>
        </is>
      </c>
      <c r="D14" s="11" t="inlineStr">
        <is>
          <t>Shows WHY matched (per-factor breakdown), pay vs local market percentile, employer trust card (pay-on-time, safety, rehire rate).</t>
        </is>
      </c>
      <c r="E14" s="12" t="inlineStr">
        <is>
          <t>-</t>
        </is>
      </c>
      <c r="F14" s="12" t="inlineStr">
        <is>
          <t>Opaque matching everywhere else.</t>
        </is>
      </c>
      <c r="G14" s="13" t="inlineStr">
        <is>
          <t>None</t>
        </is>
      </c>
      <c r="H14" s="14" t="inlineStr">
        <is>
          <t>Keep. Trust = the brand.</t>
        </is>
      </c>
    </row>
    <row r="15" ht="58" customHeight="1">
      <c r="A15" s="8" t="inlineStr">
        <is>
          <t>One-tap apply + tracker</t>
        </is>
      </c>
      <c r="B15" s="9" t="inlineStr">
        <is>
          <t>Ring 1</t>
        </is>
      </c>
      <c r="C15" s="10" t="inlineStr">
        <is>
          <t>Parity</t>
        </is>
      </c>
      <c r="D15" s="11" t="inlineStr">
        <is>
          <t>Apply -&gt; employer notified in-app; worker kanban tracker; SMS status alerts (when Twilio live).</t>
        </is>
      </c>
      <c r="E15" s="12" t="inlineStr">
        <is>
          <t>Everyone</t>
        </is>
      </c>
      <c r="F15" s="12" t="inlineStr">
        <is>
          <t>-</t>
        </is>
      </c>
      <c r="G15" s="13" t="inlineStr">
        <is>
          <t>None</t>
        </is>
      </c>
      <c r="H15" s="14" t="inlineStr">
        <is>
          <t>Done.</t>
        </is>
      </c>
    </row>
    <row r="16" ht="58" customHeight="1">
      <c r="A16" s="8" t="inlineStr">
        <is>
          <t>In-app messaging</t>
        </is>
      </c>
      <c r="B16" s="9" t="inlineStr">
        <is>
          <t>Ring 1</t>
        </is>
      </c>
      <c r="C16" s="10" t="inlineStr">
        <is>
          <t>Parity</t>
        </is>
      </c>
      <c r="D16" s="11" t="inlineStr">
        <is>
          <t>Worker &lt;-&gt; employer threads, unread badges, read receipts, quote messages.</t>
        </is>
      </c>
      <c r="E16" s="12" t="inlineStr">
        <is>
          <t>Everyone</t>
        </is>
      </c>
      <c r="F16" s="12" t="inlineStr">
        <is>
          <t>-</t>
        </is>
      </c>
      <c r="G16" s="13" t="inlineStr">
        <is>
          <t>None</t>
        </is>
      </c>
      <c r="H16" s="14" t="inlineStr">
        <is>
          <t>Done.</t>
        </is>
      </c>
    </row>
    <row r="17" ht="58" customHeight="1">
      <c r="A17" s="8" t="inlineStr">
        <is>
          <t>Employer console (overview)</t>
        </is>
      </c>
      <c r="B17" s="9" t="inlineStr">
        <is>
          <t>Ring 1</t>
        </is>
      </c>
      <c r="C17" s="10" t="inlineStr">
        <is>
          <t>Parity</t>
        </is>
      </c>
      <c r="D17" s="11" t="inlineStr">
        <is>
          <t>KPIs, funnel, hot candidates, alerts, fill-rate.</t>
        </is>
      </c>
      <c r="E17" s="12" t="inlineStr">
        <is>
          <t>Traba, Instawork</t>
        </is>
      </c>
      <c r="F17" s="12" t="inlineStr">
        <is>
          <t>Ops dashboards.</t>
        </is>
      </c>
      <c r="G17" s="10" t="inlineStr">
        <is>
          <t>Small</t>
        </is>
      </c>
      <c r="H17" s="14" t="inlineStr">
        <is>
          <t>Done for MVP.</t>
        </is>
      </c>
    </row>
    <row r="18" ht="58" customHeight="1">
      <c r="A18" s="8" t="inlineStr">
        <is>
          <t>Post a job -&gt; instant matches</t>
        </is>
      </c>
      <c r="B18" s="9" t="inlineStr">
        <is>
          <t>Ring 1</t>
        </is>
      </c>
      <c r="C18" s="10" t="inlineStr">
        <is>
          <t>Parity</t>
        </is>
      </c>
      <c r="D18" s="11" t="inlineStr">
        <is>
          <t>Job posts instantly scored against whole worker pool; rich attributes (pay cadence, crew-ok, fair-chance, veteran-friendly, transport provided, subcontract-ok).</t>
        </is>
      </c>
      <c r="E18" s="12" t="inlineStr">
        <is>
          <t>-</t>
        </is>
      </c>
      <c r="F18" s="12" t="inlineStr">
        <is>
          <t>-</t>
        </is>
      </c>
      <c r="G18" s="13" t="inlineStr">
        <is>
          <t>None</t>
        </is>
      </c>
      <c r="H18" s="14" t="inlineStr">
        <is>
          <t>Done.</t>
        </is>
      </c>
    </row>
    <row r="19" ht="58" customHeight="1">
      <c r="A19" s="8" t="inlineStr">
        <is>
          <t>Pipeline kanban (5-stage)</t>
        </is>
      </c>
      <c r="B19" s="9" t="inlineStr">
        <is>
          <t>Ring 1</t>
        </is>
      </c>
      <c r="C19" s="10" t="inlineStr">
        <is>
          <t>Parity</t>
        </is>
      </c>
      <c r="D19" s="11" t="inlineStr">
        <is>
          <t>Sourced-&gt;Screened-&gt;Interview-&gt;Offer-&gt;Hired with scorecards, ratings, outcome + pay-outcome tracking.</t>
        </is>
      </c>
      <c r="E19" s="12" t="inlineStr">
        <is>
          <t>Every ATS</t>
        </is>
      </c>
      <c r="F19" s="12" t="inlineStr">
        <is>
          <t>-</t>
        </is>
      </c>
      <c r="G19" s="13" t="inlineStr">
        <is>
          <t>None</t>
        </is>
      </c>
      <c r="H19" s="14" t="inlineStr">
        <is>
          <t>Done.</t>
        </is>
      </c>
    </row>
    <row r="20" ht="58" customHeight="1">
      <c r="A20" s="8" t="inlineStr">
        <is>
          <t>Talent search + filters</t>
        </is>
      </c>
      <c r="B20" s="9" t="inlineStr">
        <is>
          <t>Ring 1</t>
        </is>
      </c>
      <c r="C20" s="10" t="inlineStr">
        <is>
          <t>Parity</t>
        </is>
      </c>
      <c r="D20" s="11" t="inlineStr">
        <is>
          <t>Live filters: trade, distance, readiness, credentials, availability; saved candidates.</t>
        </is>
      </c>
      <c r="E20" s="12" t="inlineStr">
        <is>
          <t>Instawork</t>
        </is>
      </c>
      <c r="F20" s="12" t="inlineStr">
        <is>
          <t>-</t>
        </is>
      </c>
      <c r="G20" s="13" t="inlineStr">
        <is>
          <t>None</t>
        </is>
      </c>
      <c r="H20" s="14" t="inlineStr">
        <is>
          <t>Done.</t>
        </is>
      </c>
    </row>
    <row r="21" ht="58" customHeight="1">
      <c r="A21" s="8" t="inlineStr">
        <is>
          <t>Interview scheduling</t>
        </is>
      </c>
      <c r="B21" s="9" t="inlineStr">
        <is>
          <t>Ring 1</t>
        </is>
      </c>
      <c r="C21" s="15" t="inlineStr">
        <is>
          <t>Partial</t>
        </is>
      </c>
      <c r="D21" s="11" t="inlineStr">
        <is>
          <t>Propose slots -&gt; worker confirms in-app + NEW (Jul 6): downloadable .ics calendar invite for confirmed interviews (validated). No Google Calendar sync yet.</t>
        </is>
      </c>
      <c r="E21" s="12" t="inlineStr">
        <is>
          <t>Calendly-class tools</t>
        </is>
      </c>
      <c r="F21" s="12" t="inlineStr">
        <is>
          <t>Calendar sync + reminders.</t>
        </is>
      </c>
      <c r="G21" s="10" t="inlineStr">
        <is>
          <t>Small</t>
        </is>
      </c>
      <c r="H21" s="14" t="inlineStr">
        <is>
          <t>GCal OAuth sync only if users ask. Reminders via email digest 30-60d.</t>
        </is>
      </c>
    </row>
    <row r="22" ht="58" customHeight="1">
      <c r="A22" s="8" t="inlineStr">
        <is>
          <t>Shift / per-diem board</t>
        </is>
      </c>
      <c r="B22" s="9" t="inlineStr">
        <is>
          <t>Ring 1</t>
        </is>
      </c>
      <c r="C22" s="15" t="inlineStr">
        <is>
          <t>Partial</t>
        </is>
      </c>
      <c r="D22" s="11" t="inlineStr">
        <is>
          <t>Post shifts, claim, slot caps, double-book conflict guard, Show-Up Score. No payments attached (see Ring 2) - that is what makes Instawork a business.</t>
        </is>
      </c>
      <c r="E22" s="12" t="inlineStr">
        <is>
          <t>Instawork</t>
        </is>
      </c>
      <c r="F22" s="12" t="inlineStr">
        <is>
          <t>Shifts WITH money movement.</t>
        </is>
      </c>
      <c r="G22" s="17" t="inlineStr">
        <is>
          <t>High</t>
        </is>
      </c>
      <c r="H22" s="14" t="inlineStr">
        <is>
          <t>Payments pilot on shifts (Stripe Connect). 60-90d.</t>
        </is>
      </c>
    </row>
    <row r="23" ht="58" customHeight="1">
      <c r="A23" s="8" t="inlineStr">
        <is>
          <t>Maps everywhere</t>
        </is>
      </c>
      <c r="B23" s="9" t="inlineStr">
        <is>
          <t>Ring 1</t>
        </is>
      </c>
      <c r="C23" s="13" t="inlineStr">
        <is>
          <t>Ahead</t>
        </is>
      </c>
      <c r="D23" s="11" t="inlineStr">
        <is>
          <t>Leaflet cluster maps: national live-demand map (public), worker opportunity map w/ commute ring + "near me", recruiter talent-density map. Self-hosted tiles-free.</t>
        </is>
      </c>
      <c r="E23" s="12" t="inlineStr">
        <is>
          <t>-</t>
        </is>
      </c>
      <c r="F23" s="12" t="inlineStr">
        <is>
          <t>Most competitors: a list.</t>
        </is>
      </c>
      <c r="G23" s="13" t="inlineStr">
        <is>
          <t>None</t>
        </is>
      </c>
      <c r="H23" s="14" t="inlineStr">
        <is>
          <t>Keep.</t>
        </is>
      </c>
    </row>
    <row r="24" ht="58" customHeight="1">
      <c r="A24" s="8" t="inlineStr">
        <is>
          <t>Bilingual EN/ES</t>
        </is>
      </c>
      <c r="B24" s="9" t="inlineStr">
        <is>
          <t>Ring 1</t>
        </is>
      </c>
      <c r="C24" s="13" t="inlineStr">
        <is>
          <t>Ahead</t>
        </is>
      </c>
      <c r="D24" s="11" t="inlineStr">
        <is>
          <t>Full Spanish UI via LLM-translated string cache (persisted in DB). One click.</t>
        </is>
      </c>
      <c r="E24" s="12" t="inlineStr">
        <is>
          <t>Instawork (partial)</t>
        </is>
      </c>
      <c r="F24" s="12" t="inlineStr">
        <is>
          <t>-</t>
        </is>
      </c>
      <c r="G24" s="13" t="inlineStr">
        <is>
          <t>None</t>
        </is>
      </c>
      <c r="H24" s="14" t="inlineStr">
        <is>
          <t>Market it - huge for trades workforce.</t>
        </is>
      </c>
    </row>
    <row r="25" ht="58" customHeight="1">
      <c r="A25" s="8" t="inlineStr">
        <is>
          <t>Public portfolio + resume</t>
        </is>
      </c>
      <c r="B25" s="9" t="inlineStr">
        <is>
          <t>Ring 1</t>
        </is>
      </c>
      <c r="C25" s="10" t="inlineStr">
        <is>
          <t>Parity</t>
        </is>
      </c>
      <c r="D25" s="11" t="inlineStr">
        <is>
          <t>Shareable /p/:id portfolio, printable resume with QR, verified-cred badges.</t>
        </is>
      </c>
      <c r="E25" s="12" t="inlineStr">
        <is>
          <t>-</t>
        </is>
      </c>
      <c r="F25" s="12" t="inlineStr">
        <is>
          <t>-</t>
        </is>
      </c>
      <c r="G25" s="13" t="inlineStr">
        <is>
          <t>None</t>
        </is>
      </c>
      <c r="H25" s="14" t="inlineStr">
        <is>
          <t>Done.</t>
        </is>
      </c>
    </row>
    <row r="26" ht="58" customHeight="1">
      <c r="A26" s="8" t="inlineStr">
        <is>
          <t>Referrals / crews</t>
        </is>
      </c>
      <c r="B26" s="9" t="inlineStr">
        <is>
          <t>Ring 1</t>
        </is>
      </c>
      <c r="C26" s="13" t="inlineStr">
        <is>
          <t>Ahead</t>
        </is>
      </c>
      <c r="D26" s="11" t="inlineStr">
        <is>
          <t>Crew invite links + SMS invites, crew rosters, hire-as-team signals, referred-by tracking. Trades hire in crews - almost nobody ships this.</t>
        </is>
      </c>
      <c r="E26" s="12" t="inlineStr">
        <is>
          <t>-</t>
        </is>
      </c>
      <c r="F26" s="12" t="inlineStr">
        <is>
          <t>-</t>
        </is>
      </c>
      <c r="G26" s="13" t="inlineStr">
        <is>
          <t>None</t>
        </is>
      </c>
      <c r="H26" s="14" t="inlineStr">
        <is>
          <t>Keep; measure viral coefficient once live.</t>
        </is>
      </c>
    </row>
    <row r="27" ht="58" customHeight="1">
      <c r="A27" s="8" t="inlineStr">
        <is>
          <t>Community / market pulse</t>
        </is>
      </c>
      <c r="B27" s="9" t="inlineStr">
        <is>
          <t>Ring 1</t>
        </is>
      </c>
      <c r="C27" s="13" t="inlineStr">
        <is>
          <t>Ahead</t>
        </is>
      </c>
      <c r="D27" s="11" t="inlineStr">
        <is>
          <t>Trade posts feed + live market-tightness board (supply vs demand by trade) + seasonal trends.</t>
        </is>
      </c>
      <c r="E27" s="12" t="inlineStr">
        <is>
          <t>-</t>
        </is>
      </c>
      <c r="F27" s="12" t="inlineStr">
        <is>
          <t>-</t>
        </is>
      </c>
      <c r="G27" s="13" t="inlineStr">
        <is>
          <t>None</t>
        </is>
      </c>
      <c r="H27" s="14" t="inlineStr">
        <is>
          <t>Keep.</t>
        </is>
      </c>
    </row>
    <row r="28" ht="58" customHeight="1">
      <c r="A28" s="8" t="inlineStr">
        <is>
          <t>Responsive web (PWA-ready)</t>
        </is>
      </c>
      <c r="B28" s="9" t="inlineStr">
        <is>
          <t>Ring 1</t>
        </is>
      </c>
      <c r="C28" s="10" t="inlineStr">
        <is>
          <t>Parity</t>
        </is>
      </c>
      <c r="D28" s="11" t="inlineStr">
        <is>
          <t>Fully responsive + INSTALLABLE (Jul 6): manifest + service worker + icon - "Add to Home Screen" works. Site-wide polish: page transitions, nav progress bar, button loading spinners, scroll reveals (reduced-motion respected).</t>
        </is>
      </c>
      <c r="E28" s="12" t="inlineStr">
        <is>
          <t>-</t>
        </is>
      </c>
      <c r="F28" s="12" t="inlineStr">
        <is>
          <t>-</t>
        </is>
      </c>
      <c r="G28" s="13" t="inlineStr">
        <is>
          <t>None</t>
        </is>
      </c>
      <c r="H28" s="14" t="inlineStr">
        <is>
          <t>Done. Native wrapper (Capacitor) remains the 90d item.</t>
        </is>
      </c>
    </row>
    <row r="29" ht="21" customHeight="1">
      <c r="A29" s="7" t="inlineStr">
        <is>
          <t>RING 2 - TRUST &amp; MONEY: what makes it a real business.  (verdict: ~25% done - every Critical gap in this study lives here)</t>
        </is>
      </c>
    </row>
    <row r="30" ht="58" customHeight="1">
      <c r="A30" s="8" t="inlineStr">
        <is>
          <t>CREDENTIAL VERIFICATION (the moat)</t>
        </is>
      </c>
      <c r="B30" s="9" t="inlineStr">
        <is>
          <t>Ring 2</t>
        </is>
      </c>
      <c r="C30" s="15" t="inlineStr">
        <is>
          <t>Partial</t>
        </is>
      </c>
      <c r="D30" s="11" t="inlineStr">
        <is>
          <t>V1 LIVE (Jul 6): worker submits proof (phone-camera photo or link) -&gt; credential goes IN REVIEW -&gt; human approves/rejects in /admin -&gt; only then the Verified badge, which drives real match scores. Demo self-verify removed. NOT yet: state-board lookups, automation.</t>
        </is>
      </c>
      <c r="E30" s="12" t="inlineStr">
        <is>
          <t>Checkr Trust, Evident; BlueRecruit (manual)</t>
        </is>
      </c>
      <c r="F30" s="12" t="inlineStr">
        <is>
          <t>Real license/cert verification against issuers.</t>
        </is>
      </c>
      <c r="G30" s="17" t="inlineStr">
        <is>
          <t>High (scale)</t>
        </is>
      </c>
      <c r="H30" s="14" t="inlineStr">
        <is>
          <t>Sprint: state-board web lookups (AZ ROC, EPA 608). Automate top-10 creds by 90d.</t>
        </is>
      </c>
    </row>
    <row r="31" ht="58" customHeight="1">
      <c r="A31" s="8" t="inlineStr">
        <is>
          <t>Background checks</t>
        </is>
      </c>
      <c r="B31" s="9" t="inlineStr">
        <is>
          <t>Ring 2</t>
        </is>
      </c>
      <c r="C31" s="17" t="inlineStr">
        <is>
          <t>Behind</t>
        </is>
      </c>
      <c r="D31" s="11" t="inlineStr">
        <is>
          <t>None.</t>
        </is>
      </c>
      <c r="E31" s="12" t="inlineStr">
        <is>
          <t>Instawork, Wonolo, Traba (via Checkr/Turn)</t>
        </is>
      </c>
      <c r="F31" s="12" t="inlineStr">
        <is>
          <t>Integrated BGC at onboarding; employers filter by it.</t>
        </is>
      </c>
      <c r="G31" s="18" t="inlineStr">
        <is>
          <t>Critical (employer trust)</t>
        </is>
      </c>
      <c r="H31" s="14" t="inlineStr">
        <is>
          <t>Checkr sandbox integration + consent flow. 30-60d.</t>
        </is>
      </c>
    </row>
    <row r="32" ht="58" customHeight="1">
      <c r="A32" s="8" t="inlineStr">
        <is>
          <t>Worker payouts / instant pay</t>
        </is>
      </c>
      <c r="B32" s="9" t="inlineStr">
        <is>
          <t>Ring 2</t>
        </is>
      </c>
      <c r="C32" s="17" t="inlineStr">
        <is>
          <t>Behind</t>
        </is>
      </c>
      <c r="D32" s="11" t="inlineStr">
        <is>
          <t>Pay-cadence metadata only; no money moves. Instant pay is THE retention lever for shift workers.</t>
        </is>
      </c>
      <c r="E32" s="12" t="inlineStr">
        <is>
          <t>Instawork (InstantPay), Traba (next-day)</t>
        </is>
      </c>
      <c r="F32" s="12" t="inlineStr">
        <is>
          <t>Wallet + instant payout (Stripe Connect / Branch).</t>
        </is>
      </c>
      <c r="G32" s="18" t="inlineStr">
        <is>
          <t>Critical (revenue + retention)</t>
        </is>
      </c>
      <c r="H32" s="14" t="inlineStr">
        <is>
          <t>Stripe Connect Express pilot on shift claims, one metro. 60-90d.</t>
        </is>
      </c>
    </row>
    <row r="33" ht="58" customHeight="1">
      <c r="A33" s="8" t="inlineStr">
        <is>
          <t>Employer billing / take-rate</t>
        </is>
      </c>
      <c r="B33" s="9" t="inlineStr">
        <is>
          <t>Ring 2</t>
        </is>
      </c>
      <c r="C33" s="17" t="inlineStr">
        <is>
          <t>Behind</t>
        </is>
      </c>
      <c r="D33" s="11" t="inlineStr">
        <is>
          <t>No monetization at all today.</t>
        </is>
      </c>
      <c r="E33" s="12" t="inlineStr">
        <is>
          <t>Instawork/Traba: 25-40% markup on shifts; ATS: SaaS</t>
        </is>
      </c>
      <c r="F33" s="12" t="inlineStr">
        <is>
          <t>Clear pricing engine.</t>
        </is>
      </c>
      <c r="G33" s="18" t="inlineStr">
        <is>
          <t>Critical (revenue)</t>
        </is>
      </c>
      <c r="H33" s="14" t="inlineStr">
        <is>
          <t>Decide: % on shifts + placement fee on direct hire + free ATS. Stripe invoicing. 60-90d.</t>
        </is>
      </c>
    </row>
    <row r="34" ht="58" customHeight="1">
      <c r="A34" s="8" t="inlineStr">
        <is>
          <t>Worker classification (W-2 / 1099)</t>
        </is>
      </c>
      <c r="B34" s="9" t="inlineStr">
        <is>
          <t>Ring 2</t>
        </is>
      </c>
      <c r="C34" s="17" t="inlineStr">
        <is>
          <t>Behind</t>
        </is>
      </c>
      <c r="D34" s="11" t="inlineStr">
        <is>
          <t>N/A - no paid work yet. Every US shift marketplace lives or dies here (Wonolo lawsuits; Instawork ships W-2 option).</t>
        </is>
      </c>
      <c r="E34" s="12" t="inlineStr">
        <is>
          <t>Instawork, Bluecrew (W-2)</t>
        </is>
      </c>
      <c r="F34" s="12" t="inlineStr">
        <is>
          <t>Classification engine + payroll partner.</t>
        </is>
      </c>
      <c r="G34" s="18" t="inlineStr">
        <is>
          <t>Critical (before scaling shifts)</t>
        </is>
      </c>
      <c r="H34" s="14" t="inlineStr">
        <is>
          <t>Legal counsel + payroll partner (Check, Zeal) decision by 6mo.</t>
        </is>
      </c>
    </row>
    <row r="35" ht="58" customHeight="1">
      <c r="A35" s="8" t="inlineStr">
        <is>
          <t>Occupational insurance</t>
        </is>
      </c>
      <c r="B35" s="9" t="inlineStr">
        <is>
          <t>Ring 2</t>
        </is>
      </c>
      <c r="C35" s="17" t="inlineStr">
        <is>
          <t>Behind</t>
        </is>
      </c>
      <c r="D35" s="11" t="inlineStr">
        <is>
          <t>None. Required to onboard serious employers for shifts.</t>
        </is>
      </c>
      <c r="E35" s="12" t="inlineStr">
        <is>
          <t>Instawork, Wonolo</t>
        </is>
      </c>
      <c r="F35" s="12" t="inlineStr">
        <is>
          <t>Occ-accident / GL cover bundled.</t>
        </is>
      </c>
      <c r="G35" s="17" t="inlineStr">
        <is>
          <t>High</t>
        </is>
      </c>
      <c r="H35" s="14" t="inlineStr">
        <is>
          <t>Broker after classification decision. 6mo.</t>
        </is>
      </c>
    </row>
    <row r="36" ht="58" customHeight="1">
      <c r="A36" s="8" t="inlineStr">
        <is>
          <t>Two-sided reputation</t>
        </is>
      </c>
      <c r="B36" s="9" t="inlineStr">
        <is>
          <t>Ring 2</t>
        </is>
      </c>
      <c r="C36" s="13" t="inlineStr">
        <is>
          <t>Ahead</t>
        </is>
      </c>
      <c r="D36" s="11" t="inlineStr">
        <is>
          <t>UNIQUE combo live: worker Show-Up Score, employer Paid-Like-Promised %, site Safety Pulse, rehire-rate badge, two-sided star reviews tied to real jobs.</t>
        </is>
      </c>
      <c r="E36" s="12" t="inlineStr">
        <is>
          <t>Traba (worker reliability only)</t>
        </is>
      </c>
      <c r="F36" s="12" t="inlineStr">
        <is>
          <t>One-sided ratings.</t>
        </is>
      </c>
      <c r="G36" s="13" t="inlineStr">
        <is>
          <t>None</t>
        </is>
      </c>
      <c r="H36" s="14" t="inlineStr">
        <is>
          <t>Keep - this is a trust moat in embryo. Market it.</t>
        </is>
      </c>
    </row>
    <row r="37" ht="58" customHeight="1">
      <c r="A37" s="8" t="inlineStr">
        <is>
          <t>Real file uploads</t>
        </is>
      </c>
      <c r="B37" s="9" t="inlineStr">
        <is>
          <t>Ring 2</t>
        </is>
      </c>
      <c r="C37" s="15" t="inlineStr">
        <is>
          <t>Partial</t>
        </is>
      </c>
      <c r="D37" s="11" t="inlineStr">
        <is>
          <t>Credential proofs now upload as phone-camera photos (size-capped, stored in DB, served to admin only). Portfolio media still URL-based.</t>
        </is>
      </c>
      <c r="E37" s="12" t="inlineStr">
        <is>
          <t>Everyone</t>
        </is>
      </c>
      <c r="F37" s="12" t="inlineStr">
        <is>
          <t>Direct upload (S3-class).</t>
        </is>
      </c>
      <c r="G37" s="10" t="inlineStr">
        <is>
          <t>Small</t>
        </is>
      </c>
      <c r="H37" s="14" t="inlineStr">
        <is>
          <t>Move to Cloudflare R2 presigned uploads when volume grows. 60d.</t>
        </is>
      </c>
    </row>
    <row r="38" ht="58" customHeight="1">
      <c r="A38" s="8" t="inlineStr">
        <is>
          <t>Notifications (push/email)</t>
        </is>
      </c>
      <c r="B38" s="9" t="inlineStr">
        <is>
          <t>Ring 2</t>
        </is>
      </c>
      <c r="C38" s="17" t="inlineStr">
        <is>
          <t>Behind</t>
        </is>
      </c>
      <c r="D38" s="11" t="inlineStr">
        <is>
          <t>SMS hooks exist (Twilio-gated). No web push, no email digests.</t>
        </is>
      </c>
      <c r="E38" s="12" t="inlineStr">
        <is>
          <t>Mobile apps of all leaders</t>
        </is>
      </c>
      <c r="F38" s="12" t="inlineStr">
        <is>
          <t>Push is how shift fills happen in minutes.</t>
        </is>
      </c>
      <c r="G38" s="17" t="inlineStr">
        <is>
          <t>High</t>
        </is>
      </c>
      <c r="H38" s="14" t="inlineStr">
        <is>
          <t>Web Push (VAPID) + daily digest emails. 30-60d.</t>
        </is>
      </c>
    </row>
    <row r="39" ht="58" customHeight="1">
      <c r="A39" s="8" t="inlineStr">
        <is>
          <t>Native mobile apps</t>
        </is>
      </c>
      <c r="B39" s="9" t="inlineStr">
        <is>
          <t>Ring 2</t>
        </is>
      </c>
      <c r="C39" s="17" t="inlineStr">
        <is>
          <t>Behind</t>
        </is>
      </c>
      <c r="D39" s="11" t="inlineStr">
        <is>
          <t>Responsive web only. Workers are mobile-first; retention needs an icon on their phone.</t>
        </is>
      </c>
      <c r="E39" s="12" t="inlineStr">
        <is>
          <t>Instawork, Wonolo, Traba</t>
        </is>
      </c>
      <c r="F39" s="12" t="inlineStr">
        <is>
          <t>Polished iOS/Android apps.</t>
        </is>
      </c>
      <c r="G39" s="17" t="inlineStr">
        <is>
          <t>High (not urgent Day 0)</t>
        </is>
      </c>
      <c r="H39" s="14" t="inlineStr">
        <is>
          <t>PWA manifest now; Capacitor wrapper 90d; native only after traction.</t>
        </is>
      </c>
    </row>
    <row r="40" ht="58" customHeight="1">
      <c r="A40" s="8" t="inlineStr">
        <is>
          <t>Admin / ops panel</t>
        </is>
      </c>
      <c r="B40" s="9" t="inlineStr">
        <is>
          <t>Ring 2</t>
        </is>
      </c>
      <c r="C40" s="10" t="inlineStr">
        <is>
          <t>Parity</t>
        </is>
      </c>
      <c r="D40" s="11" t="inlineStr">
        <is>
          <t>LIVE (Jul 6): /admin gated by ADMIN_EMAILS - credential review queue with proof viewer, user search, job moderation (close), platform stats. Verified on production.</t>
        </is>
      </c>
      <c r="E40" s="12" t="inlineStr">
        <is>
          <t>Internal tools everywhere</t>
        </is>
      </c>
      <c r="F40" s="12" t="inlineStr">
        <is>
          <t>User lookup, credential review queue, job moderation, refunds.</t>
        </is>
      </c>
      <c r="G40" s="13" t="inlineStr">
        <is>
          <t>None</t>
        </is>
      </c>
      <c r="H40" s="14" t="inlineStr">
        <is>
          <t>Done for this stage. Add "delete user" + audit log when ops volume grows.</t>
        </is>
      </c>
    </row>
    <row r="41" ht="58" customHeight="1">
      <c r="A41" s="8" t="inlineStr">
        <is>
          <t>Anti-fraud / abuse</t>
        </is>
      </c>
      <c r="B41" s="9" t="inlineStr">
        <is>
          <t>Ring 2</t>
        </is>
      </c>
      <c r="C41" s="15" t="inlineStr">
        <is>
          <t>Partial</t>
        </is>
      </c>
      <c r="D41" s="11" t="inlineStr">
        <is>
          <t>Shipped this week: login lockout, OTP attempt caps (5 tries kills code), resend throttles, signup caps (20/hr/IP), SMS caps (3/hr/number). No device fingerprinting / ML.</t>
        </is>
      </c>
      <c r="E41" s="12" t="inlineStr">
        <is>
          <t>Leaders (ML + device signals)</t>
        </is>
      </c>
      <c r="F41" s="12" t="inlineStr">
        <is>
          <t>Fraud scoring at scale.</t>
        </is>
      </c>
      <c r="G41" s="16" t="inlineStr">
        <is>
          <t>Medium</t>
        </is>
      </c>
      <c r="H41" s="14" t="inlineStr">
        <is>
          <t>Fine for launch; revisit at 10k users.</t>
        </is>
      </c>
    </row>
    <row r="42" ht="58" customHeight="1">
      <c r="A42" s="8" t="inlineStr">
        <is>
          <t>Legal: ToS, Privacy, EEOC posture</t>
        </is>
      </c>
      <c r="B42" s="9" t="inlineStr">
        <is>
          <t>Ring 2</t>
        </is>
      </c>
      <c r="C42" s="15" t="inlineStr">
        <is>
          <t>Partial</t>
        </is>
      </c>
      <c r="D42" s="11" t="inlineStr">
        <is>
          <t>SHIPPED (Jul 6): /terms, /privacy, /eeo pages linked in footers + full GDPR-style account deletion (cascades all user data; tested). Templates are honest but NOT counsel-reviewed.</t>
        </is>
      </c>
      <c r="E42" s="12" t="inlineStr">
        <is>
          <t>Table stakes</t>
        </is>
      </c>
      <c r="F42" s="12" t="inlineStr">
        <is>
          <t>ToS, Privacy Policy, EEO statement, data deletion.</t>
        </is>
      </c>
      <c r="G42" s="16" t="inlineStr">
        <is>
          <t>Medium</t>
        </is>
      </c>
      <c r="H42" s="14" t="inlineStr">
        <is>
          <t>Counsel review (~$500) before scale; W-2/1099 opinion before first paid shift.</t>
        </is>
      </c>
    </row>
    <row r="43" ht="21" customHeight="1">
      <c r="A43" s="7" t="inlineStr">
        <is>
          <t>RING 3 - SCALE &amp; MOAT: what makes it a company.  (verdict: ~20% done - correct for this stage; do not build these before Ring 2)</t>
        </is>
      </c>
    </row>
    <row r="44" ht="58" customHeight="1">
      <c r="A44" s="8" t="inlineStr">
        <is>
          <t>Liquidity strategy (chicken &amp; egg)</t>
        </is>
      </c>
      <c r="B44" s="9" t="inlineStr">
        <is>
          <t>Ring 3</t>
        </is>
      </c>
      <c r="C44" s="17" t="inlineStr">
        <is>
          <t>Behind</t>
        </is>
      </c>
      <c r="D44" s="11" t="inlineStr">
        <is>
          <t>Real demand exists (live jobs) but worker supply is demo-seeded. No live metro.</t>
        </is>
      </c>
      <c r="E44" s="12" t="inlineStr">
        <is>
          <t>Instawork (6M+ workers)</t>
        </is>
      </c>
      <c r="F44" s="12" t="inlineStr">
        <is>
          <t>Density city-by-city.</t>
        </is>
      </c>
      <c r="G44" s="18" t="inlineStr">
        <is>
          <t>Critical (the startup problem)</t>
        </is>
      </c>
      <c r="H44" s="14" t="inlineStr">
        <is>
          <t>Pick Phoenix + semiconductor/manufacturing vertical (app already targets it). 90d goal: 200 verified workers, 10 paying employers.</t>
        </is>
      </c>
    </row>
    <row r="45" ht="58" customHeight="1">
      <c r="A45" s="8" t="inlineStr">
        <is>
          <t>Employer ATS write-back</t>
        </is>
      </c>
      <c r="B45" s="9" t="inlineStr">
        <is>
          <t>Ring 3</t>
        </is>
      </c>
      <c r="C45" s="17" t="inlineStr">
        <is>
          <t>Behind</t>
        </is>
      </c>
      <c r="D45" s="11" t="inlineStr">
        <is>
          <t>Ingestion is read-only; applies to external jobs deep-link out.</t>
        </is>
      </c>
      <c r="E45" s="12" t="inlineStr">
        <is>
          <t>Merge.dev-class integrations</t>
        </is>
      </c>
      <c r="F45" s="12" t="inlineStr">
        <is>
          <t>Two-way ATS sync.</t>
        </is>
      </c>
      <c r="G45" s="16" t="inlineStr">
        <is>
          <t>Medium</t>
        </is>
      </c>
      <c r="H45" s="14" t="inlineStr">
        <is>
          <t>Only after employer traction. 6mo+.</t>
        </is>
      </c>
    </row>
    <row r="46" ht="58" customHeight="1">
      <c r="A46" s="8" t="inlineStr">
        <is>
          <t>Employer analytics</t>
        </is>
      </c>
      <c r="B46" s="9" t="inlineStr">
        <is>
          <t>Ring 3</t>
        </is>
      </c>
      <c r="C46" s="15" t="inlineStr">
        <is>
          <t>Partial</t>
        </is>
      </c>
      <c r="D46" s="11" t="inlineStr">
        <is>
          <t>Funnel, time-to-fill, 8-week trend analytics live on console.</t>
        </is>
      </c>
      <c r="E46" s="12" t="inlineStr">
        <is>
          <t>Traba</t>
        </is>
      </c>
      <c r="F46" s="12" t="inlineStr">
        <is>
          <t>Deeper ops dashboards.</t>
        </is>
      </c>
      <c r="G46" s="10" t="inlineStr">
        <is>
          <t>Small</t>
        </is>
      </c>
      <c r="H46" s="14" t="inlineStr">
        <is>
          <t>Good enough. Iterate with customers.</t>
        </is>
      </c>
    </row>
    <row r="47" ht="58" customHeight="1">
      <c r="A47" s="8" t="inlineStr">
        <is>
          <t>Public API / partners</t>
        </is>
      </c>
      <c r="B47" s="9" t="inlineStr">
        <is>
          <t>Ring 3</t>
        </is>
      </c>
      <c r="C47" s="17" t="inlineStr">
        <is>
          <t>Behind</t>
        </is>
      </c>
      <c r="D47" s="11" t="inlineStr">
        <is>
          <t>None.</t>
        </is>
      </c>
      <c r="E47" s="12" t="inlineStr">
        <is>
          <t>-</t>
        </is>
      </c>
      <c r="F47" s="12" t="inlineStr">
        <is>
          <t>-</t>
        </is>
      </c>
      <c r="G47" s="13" t="inlineStr">
        <is>
          <t>Low</t>
        </is>
      </c>
      <c r="H47" s="14" t="inlineStr">
        <is>
          <t>Post-traction.</t>
        </is>
      </c>
    </row>
    <row r="48" ht="58" customHeight="1">
      <c r="A48" s="8" t="inlineStr">
        <is>
          <t>SEO / programmatic pages</t>
        </is>
      </c>
      <c r="B48" s="9" t="inlineStr">
        <is>
          <t>Ring 3</t>
        </is>
      </c>
      <c r="C48" s="15" t="inlineStr">
        <is>
          <t>Partial</t>
        </is>
      </c>
      <c r="D48" s="11" t="inlineStr">
        <is>
          <t>Public job pages, sitemap.xml, OG images, sectors + careers pages exist. No per-metro/per-trade landing factory.</t>
        </is>
      </c>
      <c r="E48" s="12" t="inlineStr">
        <is>
          <t>Indeed (SEO empire)</t>
        </is>
      </c>
      <c r="F48" s="12" t="inlineStr">
        <is>
          <t>Thousands of indexed landing pages.</t>
        </is>
      </c>
      <c r="G48" s="16" t="inlineStr">
        <is>
          <t>Medium</t>
        </is>
      </c>
      <c r="H48" s="14" t="inlineStr">
        <is>
          <t>Generate /jobs/{metro}/{trade} pages from live data. 60-90d.</t>
        </is>
      </c>
    </row>
    <row r="49" ht="58" customHeight="1">
      <c r="A49" s="8" t="inlineStr">
        <is>
          <t>Lifecycle email/CRM</t>
        </is>
      </c>
      <c r="B49" s="9" t="inlineStr">
        <is>
          <t>Ring 3</t>
        </is>
      </c>
      <c r="C49" s="17" t="inlineStr">
        <is>
          <t>Behind</t>
        </is>
      </c>
      <c r="D49" s="11" t="inlineStr">
        <is>
          <t>None (blocked on email provider anyway).</t>
        </is>
      </c>
      <c r="E49" s="12" t="inlineStr">
        <is>
          <t>Everyone</t>
        </is>
      </c>
      <c r="F49" s="12" t="inlineStr">
        <is>
          <t>Onboarding drips, match alerts, win-back.</t>
        </is>
      </c>
      <c r="G49" s="16" t="inlineStr">
        <is>
          <t>Medium</t>
        </is>
      </c>
      <c r="H49" s="14" t="inlineStr">
        <is>
          <t>After Brevo key: weekly match digest first. 30-60d.</t>
        </is>
      </c>
    </row>
    <row r="50" ht="58" customHeight="1">
      <c r="A50" s="8" t="inlineStr">
        <is>
          <t>Infra &amp; cost posture</t>
        </is>
      </c>
      <c r="B50" s="9" t="inlineStr">
        <is>
          <t>Ring 3</t>
        </is>
      </c>
      <c r="C50" s="10" t="inlineStr">
        <is>
          <t>Parity</t>
        </is>
      </c>
      <c r="D50" s="11" t="inlineStr">
        <is>
          <t>Single Node proc + Turso (free), Render free tier + keep-warm cron, Vercel front door, Docker ready. Boot-crash + event-loop-starvation bugs FIXED this week; healthz self-diagnostics added. $0/mo today.</t>
        </is>
      </c>
      <c r="E50" s="12" t="inlineStr">
        <is>
          <t>-</t>
        </is>
      </c>
      <c r="F50" s="12" t="inlineStr">
        <is>
          <t>-</t>
        </is>
      </c>
      <c r="G50" s="10" t="inlineStr">
        <is>
          <t>Small</t>
        </is>
      </c>
      <c r="H50" s="14" t="inlineStr">
        <is>
          <t>Render Starter ($7/mo) kills cold starts at launch. Day 0-30.</t>
        </is>
      </c>
    </row>
    <row r="51" ht="58" customHeight="1">
      <c r="A51" s="8" t="inlineStr">
        <is>
          <t>Observability</t>
        </is>
      </c>
      <c r="B51" s="9" t="inlineStr">
        <is>
          <t>Ring 3</t>
        </is>
      </c>
      <c r="C51" s="15" t="inlineStr">
        <is>
          <t>Partial</t>
        </is>
      </c>
      <c r="D51" s="11" t="inlineStr">
        <is>
          <t>/healthz is a real diagnostic: build hash, feature flags (email/sms/google/db/admin), per-port SMTP verdict, exact last email-send error. Diagnosed a platform firewall from it. No error tracker yet.</t>
        </is>
      </c>
      <c r="E51" s="12" t="inlineStr">
        <is>
          <t>Sentry-class</t>
        </is>
      </c>
      <c r="F51" s="12" t="inlineStr">
        <is>
          <t>Alerting on errors.</t>
        </is>
      </c>
      <c r="G51" s="10" t="inlineStr">
        <is>
          <t>Small</t>
        </is>
      </c>
      <c r="H51" s="14" t="inlineStr">
        <is>
          <t>Add Sentry free tier. 30d.</t>
        </is>
      </c>
    </row>
    <row r="52" ht="58" customHeight="1">
      <c r="A52" s="8" t="inlineStr">
        <is>
          <t>Custom domain / brand</t>
        </is>
      </c>
      <c r="B52" s="9" t="inlineStr">
        <is>
          <t>Ring 3</t>
        </is>
      </c>
      <c r="C52" s="17" t="inlineStr">
        <is>
          <t>Behind</t>
        </is>
      </c>
      <c r="D52" s="11" t="inlineStr">
        <is>
          <t>Living on onrender.com / vercel.app URLs.</t>
        </is>
      </c>
      <c r="E52" s="12" t="inlineStr">
        <is>
          <t>Everyone</t>
        </is>
      </c>
      <c r="F52" s="12" t="inlineStr">
        <is>
          <t>Branded domain + SSL.</t>
        </is>
      </c>
      <c r="G52" s="10" t="inlineStr">
        <is>
          <t>Small (but investor-visible)</t>
        </is>
      </c>
      <c r="H52" s="14" t="inlineStr">
        <is>
          <t>Buy domain, point Vercel + Render. Day 0.</t>
        </is>
      </c>
    </row>
  </sheetData>
  <mergeCells count="5">
    <mergeCell ref="A1:H1"/>
    <mergeCell ref="A29:H29"/>
    <mergeCell ref="A43:H43"/>
    <mergeCell ref="A2:H2"/>
    <mergeCell ref="A5:H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4" customWidth="1" min="1" max="1"/>
    <col width="12" customWidth="1" min="2" max="2"/>
    <col width="12" customWidth="1" min="3" max="3"/>
    <col width="14" customWidth="1" min="4" max="4"/>
    <col width="12" customWidth="1" min="5" max="5"/>
    <col width="12" customWidth="1" min="6" max="6"/>
    <col width="26" customWidth="1" min="7" max="7"/>
  </cols>
  <sheetData>
    <row r="1" ht="30" customHeight="1">
      <c r="A1" s="1" t="inlineStr">
        <is>
          <t>01b - Scorecard: how much is done, ring by ring</t>
        </is>
      </c>
    </row>
    <row r="2" ht="22" customHeight="1">
      <c r="A2" s="2" t="inlineStr">
        <is>
          <t>Counts computed live from 01a. Weighted verdict at the bottom.</t>
        </is>
      </c>
    </row>
    <row r="4" ht="26" customHeight="1">
      <c r="A4" s="6" t="inlineStr">
        <is>
          <t>Ring</t>
        </is>
      </c>
      <c r="B4" s="6" t="inlineStr">
        <is>
          <t>Ahead</t>
        </is>
      </c>
      <c r="C4" s="6" t="inlineStr">
        <is>
          <t>Parity</t>
        </is>
      </c>
      <c r="D4" s="6" t="inlineStr">
        <is>
          <t>Partial</t>
        </is>
      </c>
      <c r="E4" s="6" t="inlineStr">
        <is>
          <t>Behind</t>
        </is>
      </c>
      <c r="F4" s="6" t="inlineStr">
        <is>
          <t>Total rows</t>
        </is>
      </c>
      <c r="G4" s="6" t="inlineStr">
        <is>
          <t>% shipped (Ahead+Parity+Partial)</t>
        </is>
      </c>
    </row>
    <row r="5">
      <c r="A5" s="19" t="inlineStr">
        <is>
          <t>Ring 1</t>
        </is>
      </c>
      <c r="B5" s="20">
        <f>COUNTIFS('01a - Rivet vs Market'!$B$5:$B$52,$A5,'01a - Rivet vs Market'!$C$5:$C$52,B$4)</f>
        <v/>
      </c>
      <c r="C5" s="20">
        <f>COUNTIFS('01a - Rivet vs Market'!$B$5:$B$52,$A5,'01a - Rivet vs Market'!$C$5:$C$52,C$4)</f>
        <v/>
      </c>
      <c r="D5" s="20">
        <f>COUNTIFS('01a - Rivet vs Market'!$B$5:$B$52,$A5,'01a - Rivet vs Market'!$C$5:$C$52,D$4)</f>
        <v/>
      </c>
      <c r="E5" s="20">
        <f>COUNTIFS('01a - Rivet vs Market'!$B$5:$B$52,$A5,'01a - Rivet vs Market'!$C$5:$C$52,E$4)</f>
        <v/>
      </c>
      <c r="F5" s="20">
        <f>SUM(B5:E5)</f>
        <v/>
      </c>
      <c r="G5" s="21">
        <f>IF(F5=0,0,(B5+C5+D5)/F5)</f>
        <v/>
      </c>
    </row>
    <row r="6">
      <c r="A6" s="19" t="inlineStr">
        <is>
          <t>Ring 2</t>
        </is>
      </c>
      <c r="B6" s="20">
        <f>COUNTIFS('01a - Rivet vs Market'!$B$5:$B$52,$A6,'01a - Rivet vs Market'!$C$5:$C$52,B$4)</f>
        <v/>
      </c>
      <c r="C6" s="20">
        <f>COUNTIFS('01a - Rivet vs Market'!$B$5:$B$52,$A6,'01a - Rivet vs Market'!$C$5:$C$52,C$4)</f>
        <v/>
      </c>
      <c r="D6" s="20">
        <f>COUNTIFS('01a - Rivet vs Market'!$B$5:$B$52,$A6,'01a - Rivet vs Market'!$C$5:$C$52,D$4)</f>
        <v/>
      </c>
      <c r="E6" s="20">
        <f>COUNTIFS('01a - Rivet vs Market'!$B$5:$B$52,$A6,'01a - Rivet vs Market'!$C$5:$C$52,E$4)</f>
        <v/>
      </c>
      <c r="F6" s="20">
        <f>SUM(B6:E6)</f>
        <v/>
      </c>
      <c r="G6" s="21">
        <f>IF(F6=0,0,(B6+C6+D6)/F6)</f>
        <v/>
      </c>
    </row>
    <row r="7">
      <c r="A7" s="19" t="inlineStr">
        <is>
          <t>Ring 3</t>
        </is>
      </c>
      <c r="B7" s="20">
        <f>COUNTIFS('01a - Rivet vs Market'!$B$5:$B$52,$A7,'01a - Rivet vs Market'!$C$5:$C$52,B$4)</f>
        <v/>
      </c>
      <c r="C7" s="20">
        <f>COUNTIFS('01a - Rivet vs Market'!$B$5:$B$52,$A7,'01a - Rivet vs Market'!$C$5:$C$52,C$4)</f>
        <v/>
      </c>
      <c r="D7" s="20">
        <f>COUNTIFS('01a - Rivet vs Market'!$B$5:$B$52,$A7,'01a - Rivet vs Market'!$C$5:$C$52,D$4)</f>
        <v/>
      </c>
      <c r="E7" s="20">
        <f>COUNTIFS('01a - Rivet vs Market'!$B$5:$B$52,$A7,'01a - Rivet vs Market'!$C$5:$C$52,E$4)</f>
        <v/>
      </c>
      <c r="F7" s="20">
        <f>SUM(B7:E7)</f>
        <v/>
      </c>
      <c r="G7" s="21">
        <f>IF(F7=0,0,(B7+C7+D7)/F7)</f>
        <v/>
      </c>
    </row>
    <row r="8">
      <c r="A8" s="22" t="inlineStr">
        <is>
          <t>TOTAL</t>
        </is>
      </c>
      <c r="B8" s="22">
        <f>SUM(B5:B7)</f>
        <v/>
      </c>
      <c r="C8" s="22">
        <f>SUM(C5:C7)</f>
        <v/>
      </c>
      <c r="D8" s="22">
        <f>SUM(D5:D7)</f>
        <v/>
      </c>
      <c r="E8" s="22">
        <f>SUM(E5:E7)</f>
        <v/>
      </c>
      <c r="F8" s="22">
        <f>SUM(F5:F7)</f>
        <v/>
      </c>
      <c r="G8" s="23">
        <f>IF(F8=0,0,(B8+C8+D8)/F8)</f>
        <v/>
      </c>
    </row>
    <row r="10" ht="34" customHeight="1">
      <c r="A10" s="5" t="inlineStr">
        <is>
          <t>Weighted readiness toward a fundable, launchable startup</t>
        </is>
      </c>
      <c r="B10" s="24" t="inlineStr">
        <is>
          <t>~50%</t>
        </is>
      </c>
      <c r="C10" s="53" t="n"/>
      <c r="D10" s="26" t="inlineStr">
        <is>
          <t>Ring 1 nearly complete and partly ahead of market; Ring 2 is the work; Ring 3 correctly deferred.</t>
        </is>
      </c>
      <c r="E10" s="54" t="n"/>
      <c r="F10" s="54" t="n"/>
      <c r="G10" s="53" t="n"/>
    </row>
    <row r="11" ht="34" customHeight="1">
      <c r="A11" s="5" t="inlineStr">
        <is>
          <t>Single most valuable next 90 days</t>
        </is>
      </c>
      <c r="B11" s="24" t="inlineStr">
        <is>
          <t>Verification moat + first money</t>
        </is>
      </c>
      <c r="C11" s="53" t="n"/>
      <c r="D11" s="26" t="inlineStr">
        <is>
          <t>Real credential verification (Sprint 1-2), Checkr, Stripe Connect pilot on shifts in ONE metro.</t>
        </is>
      </c>
      <c r="E11" s="54" t="n"/>
      <c r="F11" s="54" t="n"/>
      <c r="G11" s="53" t="n"/>
    </row>
    <row r="12" ht="34" customHeight="1">
      <c r="A12" s="5" t="inlineStr">
        <is>
          <t>Cost to keep running today</t>
        </is>
      </c>
      <c r="B12" s="24" t="inlineStr">
        <is>
          <t>$0/month</t>
        </is>
      </c>
      <c r="C12" s="53" t="n"/>
      <c r="D12" s="26" t="inlineStr">
        <is>
          <t>Render free + Turso free + Vercel free + keep-warm cron. First real cost: Render Starter $7/mo + Twilio + domain (~$25/mo all-in).</t>
        </is>
      </c>
      <c r="E12" s="54" t="n"/>
      <c r="F12" s="54" t="n"/>
      <c r="G12" s="53" t="n"/>
    </row>
  </sheetData>
  <mergeCells count="8">
    <mergeCell ref="A1:G1"/>
    <mergeCell ref="B11:C11"/>
    <mergeCell ref="D12:G12"/>
    <mergeCell ref="B10:C10"/>
    <mergeCell ref="A2:G2"/>
    <mergeCell ref="D11:G11"/>
    <mergeCell ref="D10:G10"/>
    <mergeCell ref="B12:C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6" customWidth="1" min="1" max="1"/>
    <col width="34" customWidth="1" min="2" max="2"/>
    <col width="66" customWidth="1" min="3" max="3"/>
    <col width="46" customWidth="1" min="4" max="4"/>
  </cols>
  <sheetData>
    <row r="1" ht="30" customHeight="1">
      <c r="A1" s="1" t="inlineStr">
        <is>
          <t>02 - The Three Rings: how to think about what to build next</t>
        </is>
      </c>
    </row>
    <row r="2" ht="22" customHeight="1">
      <c r="A2" s="2" t="inlineStr">
        <is>
          <t>Build from the inside out. Shipping Ring 3 before Ring 2 is how marketplaces die.</t>
        </is>
      </c>
    </row>
    <row r="4" ht="26" customHeight="1">
      <c r="A4" s="6" t="inlineStr">
        <is>
          <t>Ring</t>
        </is>
      </c>
      <c r="B4" s="6" t="inlineStr">
        <is>
          <t>Question it answers</t>
        </is>
      </c>
      <c r="C4" s="6" t="inlineStr">
        <is>
          <t>Where Rivet stands (honest)</t>
        </is>
      </c>
      <c r="D4" s="6" t="inlineStr">
        <is>
          <t>What "done" looks like</t>
        </is>
      </c>
    </row>
    <row r="5" ht="110" customHeight="1">
      <c r="A5" s="27" t="inlineStr">
        <is>
          <t>Ring 1 - Core marketplace</t>
        </is>
      </c>
      <c r="B5" s="28" t="inlineStr">
        <is>
          <t>Can a worker find real work and an employer find real workers, today, without anyone explaining the app?</t>
        </is>
      </c>
      <c r="C5" s="29" t="inlineStr">
        <is>
          <t>~85% shipped. Auth (email OTP + Google + phone), profiles, matching engine w/ tests, 5-6k REAL ingested jobs, apply/pipeline/messaging/search, shifts board, maps, EN/ES, referrals, community. Several pieces (score transparency, crews, two-sided reputation, live maps) are AHEAD of market.</t>
        </is>
      </c>
      <c r="D5" s="28" t="inlineStr">
        <is>
          <t>A worker in Phoenix onboards in &lt;3 min, sees real matched jobs, applies, gets a reply - all self-serve. TRUE today except email delivery key (5-min fix).</t>
        </is>
      </c>
    </row>
    <row r="6" ht="110" customHeight="1">
      <c r="A6" s="27" t="inlineStr">
        <is>
          <t>Ring 2 - Trust &amp; money</t>
        </is>
      </c>
      <c r="B6" s="28" t="inlineStr">
        <is>
          <t>Why would an employer trust these workers, and how does anyone get paid?</t>
        </is>
      </c>
      <c r="C6" s="29" t="inlineStr">
        <is>
          <t>~25% shipped. Reputation system is genuinely ahead (Show-Up Score, Paid-Like-Promised, Safety Pulse). But credential verification is demo-only, no background checks, no payments, no billing, no legal docs. EVERY Critical gap is in this ring.</t>
        </is>
      </c>
      <c r="D6" s="28" t="inlineStr">
        <is>
          <t>Top-10 credentials verified against real issuers; Checkr BGC; Stripe Connect moves money on shifts; published ToS/Privacy; pricing live.</t>
        </is>
      </c>
    </row>
    <row r="7" ht="110" customHeight="1">
      <c r="A7" s="27" t="inlineStr">
        <is>
          <t>Ring 3 - Scale &amp; moat</t>
        </is>
      </c>
      <c r="B7" s="28" t="inlineStr">
        <is>
          <t>Why does this win the market instead of staying a nice demo?</t>
        </is>
      </c>
      <c r="C7" s="29" t="inlineStr">
        <is>
          <t>~20% shipped. Live-jobs ingestion engine is a real early moat (nobody else combines aggregated REAL demand with a staffing marketplace at this stage). SEO seeds exist. Everything else correctly deferred.</t>
        </is>
      </c>
      <c r="D7" s="28" t="inlineStr">
        <is>
          <t>One metro dense (200+ verified workers, 10+ paying employers), programmatic SEO factory, push notifications driving &lt;15-min shift fills, native app.</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6" customWidth="1" min="1" max="1"/>
    <col width="34" customWidth="1" min="2" max="2"/>
    <col width="26" customWidth="1" min="3" max="3"/>
    <col width="28" customWidth="1" min="4" max="4"/>
    <col width="26" customWidth="1" min="5" max="5"/>
    <col width="32" customWidth="1" min="6" max="6"/>
    <col width="40" customWidth="1" min="7" max="7"/>
  </cols>
  <sheetData>
    <row r="1" ht="30" customHeight="1">
      <c r="A1" s="1" t="inlineStr">
        <is>
          <t>03 - Competitor landscape: who we are actually up against</t>
        </is>
      </c>
    </row>
    <row r="2" ht="22" customHeight="1">
      <c r="A2" s="2" t="inlineStr">
        <is>
          <t>Funding/scale figures are as of early 2026 - re-verify before investor use. Lesson column = what Rivet should copy or dodge.</t>
        </is>
      </c>
    </row>
    <row r="4" ht="26" customHeight="1">
      <c r="A4" s="6" t="inlineStr">
        <is>
          <t>Company</t>
        </is>
      </c>
      <c r="B4" s="6" t="inlineStr">
        <is>
          <t>Model</t>
        </is>
      </c>
      <c r="C4" s="6" t="inlineStr">
        <is>
          <t>Scale / funding (early 2026)</t>
        </is>
      </c>
      <c r="D4" s="6" t="inlineStr">
        <is>
          <t>Worker side</t>
        </is>
      </c>
      <c r="E4" s="6" t="inlineStr">
        <is>
          <t>Employer side</t>
        </is>
      </c>
      <c r="F4" s="6" t="inlineStr">
        <is>
          <t>Weakness we can exploit</t>
        </is>
      </c>
      <c r="G4" s="6" t="inlineStr">
        <is>
          <t>Lesson for Rivet</t>
        </is>
      </c>
    </row>
    <row r="5" ht="72" customHeight="1">
      <c r="A5" s="30" t="inlineStr">
        <is>
          <t>Instawork</t>
        </is>
      </c>
      <c r="B5" s="26" t="inlineStr">
        <is>
          <t>Flexible-staffing marketplace: hospitality, warehouse, light industrial. W-2 and 1099 options.</t>
        </is>
      </c>
      <c r="C5" s="26" t="inlineStr">
        <is>
          <t>4M+ workers (Instawork; CB Insights cites 10M+), tens of thousands of businesses; $160M total, $60M Series D led by TCV. VERIFIED Jul 2026.</t>
        </is>
      </c>
      <c r="D5" s="26" t="inlineStr">
        <is>
          <t>Mobile-first app, InstantPay same-day payout, ratings, shift streaks.</t>
        </is>
      </c>
      <c r="E5" s="26" t="inlineStr">
        <is>
          <t>Fill rates + reliability stats, bulk shift posting, integrations.</t>
        </is>
      </c>
      <c r="F5" s="26" t="inlineStr">
        <is>
          <t>Generalist: shallow in skilled trades and credentials; workers are interchangeable "pros".</t>
        </is>
      </c>
      <c r="G5" s="31" t="inlineStr">
        <is>
          <t>Instant pay + reliability scoring are the retention levers. Our Show-Up Score is the seed of the same system.</t>
        </is>
      </c>
    </row>
    <row r="6" ht="72" customHeight="1">
      <c r="A6" s="32" t="inlineStr">
        <is>
          <t>Traba</t>
        </is>
      </c>
      <c r="B6" s="26" t="inlineStr">
        <is>
          <t>Light-industrial shift marketplace (warehouse, events, food processing, manufacturing).</t>
        </is>
      </c>
      <c r="C6" s="26" t="inlineStr">
        <is>
          <t>$43.6M total (seed $3.6M + $20M Series A + $22M A2, Oct 2023) - Founders Fund, Khosla, General Catalyst. Tens of thousands of workers, hundreds of businesses. VERIFIED Jul 2026.</t>
        </is>
      </c>
      <c r="D6" s="26" t="inlineStr">
        <is>
          <t>Reliability score, next-day pay, bonuses for streaks.</t>
        </is>
      </c>
      <c r="E6" s="26" t="inlineStr">
        <is>
          <t>White-glove ops, vetted worker pools, fill guarantees.</t>
        </is>
      </c>
      <c r="F6" s="26" t="inlineStr">
        <is>
          <t>Narrow verticals; high-touch ops model is expensive to scale.</t>
        </is>
      </c>
      <c r="G6" s="31" t="inlineStr">
        <is>
          <t>Obsess over fill-rate + reliability as THE metrics. Their playbook validates our shifts board - but only WITH payments.</t>
        </is>
      </c>
    </row>
    <row r="7" ht="72" customHeight="1">
      <c r="A7" s="30" t="inlineStr">
        <is>
          <t>Wonolo</t>
        </is>
      </c>
      <c r="B7" s="26" t="inlineStr">
        <is>
          <t>On-demand blue-collar staffing (1099-heavy).</t>
        </is>
      </c>
      <c r="C7" s="26" t="inlineStr">
        <is>
          <t>~1M+ workers; ~$140M raised.</t>
        </is>
      </c>
      <c r="D7" s="26" t="inlineStr">
        <is>
          <t>Simple claim-a-job flow.</t>
        </is>
      </c>
      <c r="E7" s="26" t="inlineStr">
        <is>
          <t>Preferred worker pools.</t>
        </is>
      </c>
      <c r="F7" s="26" t="inlineStr">
        <is>
          <t>Classification lawsuits; quality complaints; 1099 model under regulatory pressure.</t>
        </is>
      </c>
      <c r="G7" s="31" t="inlineStr">
        <is>
          <t>Decide W-2 vs 1099 EARLY with counsel. Do not sleepwalk into misclassification.</t>
        </is>
      </c>
    </row>
    <row r="8" ht="72" customHeight="1">
      <c r="A8" s="32" t="inlineStr">
        <is>
          <t>BlueRecruit</t>
        </is>
      </c>
      <c r="B8" s="26" t="inlineStr">
        <is>
          <t>Direct-hire matching for skilled trades specifically.</t>
        </is>
      </c>
      <c r="C8" s="26" t="inlineStr">
        <is>
          <t>Small (seed, ~$5M); niche.</t>
        </is>
      </c>
      <c r="D8" s="26" t="inlineStr">
        <is>
          <t>Trade-specific profiles, licenses listed.</t>
        </is>
      </c>
      <c r="E8" s="26" t="inlineStr">
        <is>
          <t>Search verified trade candidates.</t>
        </is>
      </c>
      <c r="F8" s="26" t="inlineStr">
        <is>
          <t>Tiny liquidity; manual verification does not scale; weak product velocity.</t>
        </is>
      </c>
      <c r="G8" s="31" t="inlineStr">
        <is>
          <t>Direct proof our niche (verified TRADES hiring) is underserved. We out-build them on product; must out-execute on verification.</t>
        </is>
      </c>
    </row>
    <row r="9" ht="72" customHeight="1">
      <c r="A9" s="30" t="inlineStr">
        <is>
          <t>Indeed Flex</t>
        </is>
      </c>
      <c r="B9" s="26" t="inlineStr">
        <is>
          <t>Staffing arm of Indeed (W-2 temp).</t>
        </is>
      </c>
      <c r="C9" s="26" t="inlineStr">
        <is>
          <t>Backed by Indeed/Recruit Holdings.</t>
        </is>
      </c>
      <c r="D9" s="26" t="inlineStr">
        <is>
          <t>W-2 shifts, benefits accrual.</t>
        </is>
      </c>
      <c r="E9" s="26" t="inlineStr">
        <is>
          <t>Indeed-scale demand funnel.</t>
        </is>
      </c>
      <c r="F9" s="26" t="inlineStr">
        <is>
          <t>Bolt-on to a job board; not trades-focused.</t>
        </is>
      </c>
      <c r="G9" s="31" t="inlineStr">
        <is>
          <t>Aggregated demand + staffing hybrid works - our live-jobs ingestion is the same insight at seed stage.</t>
        </is>
      </c>
    </row>
    <row r="10" ht="72" customHeight="1">
      <c r="A10" s="32" t="inlineStr">
        <is>
          <t>Workrise</t>
        </is>
      </c>
      <c r="B10" s="26" t="inlineStr">
        <is>
          <t>Workforce management for energy/skilled trades.</t>
        </is>
      </c>
      <c r="C10" s="26" t="inlineStr">
        <is>
          <t>~$750M raised; pivoted to services/supply chain after marketplace struggles.</t>
        </is>
      </c>
      <c r="D10" s="26" t="inlineStr">
        <is>
          <t>Payroll + compliance handled.</t>
        </is>
      </c>
      <c r="E10" s="26" t="inlineStr">
        <is>
          <t>Vendor management, payroll.</t>
        </is>
      </c>
      <c r="F10" s="26" t="inlineStr">
        <is>
          <t>Lost marketplace focus; cautionary tale.</t>
        </is>
      </c>
      <c r="G10" s="31" t="inlineStr">
        <is>
          <t>Focus. Do not become a services company. Software margins only.</t>
        </is>
      </c>
    </row>
    <row r="11" ht="72" customHeight="1">
      <c r="A11" s="30" t="inlineStr">
        <is>
          <t>GigSmart / Veryable / Bluecrew</t>
        </is>
      </c>
      <c r="B11" s="26" t="inlineStr">
        <is>
          <t>Adjacent gig/manufacturing-capacity/W-2 staffing platforms.</t>
        </is>
      </c>
      <c r="C11" s="26" t="inlineStr">
        <is>
          <t>Various; smaller.</t>
        </is>
      </c>
      <c r="D11" s="26" t="inlineStr">
        <is>
          <t>-</t>
        </is>
      </c>
      <c r="E11" s="26" t="inlineStr">
        <is>
          <t>-</t>
        </is>
      </c>
      <c r="F11" s="26" t="inlineStr">
        <is>
          <t>Fragmented.</t>
        </is>
      </c>
      <c r="G11" s="31" t="inlineStr">
        <is>
          <t>The space is validated but fragmented - a verified-trades wedge with real demand data can win a region.</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72" customWidth="1" min="2" max="2"/>
    <col width="22" customWidth="1" min="3" max="3"/>
    <col width="40" customWidth="1" min="4" max="4"/>
    <col width="16" customWidth="1" min="5" max="5"/>
  </cols>
  <sheetData>
    <row r="1" ht="30" customHeight="1">
      <c r="A1" s="1" t="inlineStr">
        <is>
          <t>04 - Everything built and verified so far (the receipts)</t>
        </is>
      </c>
    </row>
    <row r="2" ht="22" customHeight="1">
      <c r="A2" s="2" t="inlineStr">
        <is>
          <t>Every claim in 01a traces to code, a commit, or a live-site probe. This tab is the audit trail.</t>
        </is>
      </c>
    </row>
    <row r="4" ht="26" customHeight="1">
      <c r="A4" s="6" t="inlineStr">
        <is>
          <t>Date</t>
        </is>
      </c>
      <c r="B4" s="6" t="inlineStr">
        <is>
          <t>What shipped</t>
        </is>
      </c>
      <c r="C4" s="6" t="inlineStr">
        <is>
          <t>Evidence / commit</t>
        </is>
      </c>
      <c r="D4" s="6" t="inlineStr">
        <is>
          <t>Verified how</t>
        </is>
      </c>
      <c r="E4" s="6" t="inlineStr">
        <is>
          <t>Status</t>
        </is>
      </c>
    </row>
    <row r="5" ht="64" customHeight="1">
      <c r="A5" s="26" t="inlineStr">
        <is>
          <t>pre-Jul 2026</t>
        </is>
      </c>
      <c r="B5" s="33" t="inlineStr">
        <is>
          <t>Full core product: auth, worker app (onboarding, matches, applications, credential wallet, portfolio, resume, crews, shifts, agents, coach), employer console (overview, post-job, pipeline, search, analytics, interviews, shortlist, company), matching engine, live ATS ingestion (~40 feeds), maps, EN/ES, community pulse, reviews, referrals, OG images, sitemap, keep-alive cron.</t>
        </is>
      </c>
      <c r="C5" s="26" t="inlineStr">
        <is>
          <t>Initial commit ee09640 (squashed history)</t>
        </is>
      </c>
      <c r="D5" s="26" t="inlineStr">
        <is>
          <t>Route sweep: every page 200; demo logins work; 8/8 matching tests pass.</t>
        </is>
      </c>
      <c r="E5" s="34" t="inlineStr">
        <is>
          <t>LIVE</t>
        </is>
      </c>
    </row>
    <row r="6" ht="64" customHeight="1">
      <c r="A6" s="26" t="inlineStr">
        <is>
          <t>Jul 4</t>
        </is>
      </c>
      <c r="B6" s="33" t="inlineStr">
        <is>
          <t>Fresh-database boot crash FIXED: createSchema indexed jobs.sector/apply_url/last_seen before migrate() added the columns - every fresh install crashed. Indexes moved after migrations.</t>
        </is>
      </c>
      <c r="C6" s="26" t="inlineStr">
        <is>
          <t>8e3856b</t>
        </is>
      </c>
      <c r="D6" s="26" t="inlineStr">
        <is>
          <t>Clean boot on wiped DB; seeded 28k rows; healthz 200.</t>
        </is>
      </c>
      <c r="E6" s="34" t="inlineStr">
        <is>
          <t>LIVE</t>
        </is>
      </c>
    </row>
    <row r="7" ht="64" customHeight="1">
      <c r="A7" s="26" t="inlineStr">
        <is>
          <t>Jul 4</t>
        </is>
      </c>
      <c r="B7" s="33" t="inlineStr">
        <is>
          <t>Event-loop starvation FIXED: file-mode libsql is synchronous; seed/ingest loops froze ALL HTTP for minutes. setImmediate yield per statement (file mode only).</t>
        </is>
      </c>
      <c r="C7" s="26" t="inlineStr">
        <is>
          <t>8e3856b</t>
        </is>
      </c>
      <c r="D7" s="26" t="inlineStr">
        <is>
          <t>36/36 requests &lt;2s during the maintenance window that previously froze the site.</t>
        </is>
      </c>
      <c r="E7" s="34" t="inlineStr">
        <is>
          <t>LIVE</t>
        </is>
      </c>
    </row>
    <row r="8" ht="64" customHeight="1">
      <c r="A8" s="26" t="inlineStr">
        <is>
          <t>Jul 4</t>
        </is>
      </c>
      <c r="B8" s="33" t="inlineStr">
        <is>
          <t>Vercel front door (vercel-proxy/, rewrites all traffic to Render; x-forwarded-host honored so OAuth keeps the public domain).</t>
        </is>
      </c>
      <c r="C8" s="26" t="inlineStr">
        <is>
          <t>8e3856b</t>
        </is>
      </c>
      <c r="D8" s="26" t="inlineStr">
        <is>
          <t>Deployed by user; login/signup confirmed working through proxy.</t>
        </is>
      </c>
      <c r="E8" s="34" t="inlineStr">
        <is>
          <t>LIVE</t>
        </is>
      </c>
    </row>
    <row r="9" ht="64" customHeight="1">
      <c r="A9" s="26" t="inlineStr">
        <is>
          <t>Jul 5</t>
        </is>
      </c>
      <c r="B9" s="33" t="inlineStr">
        <is>
          <t>Email OTP verification: email_otp table, users.email_verified, /verify-email flow, enforcement guards on /app + /console.</t>
        </is>
      </c>
      <c r="C9" s="26" t="inlineStr">
        <is>
          <t>3c54eea</t>
        </is>
      </c>
      <c r="D9" s="26" t="inlineStr">
        <is>
          <t>Local E2E: signup -&gt; blocked -&gt; wrong code rejected -&gt; correct code -&gt; home. Demo accounts unaffected.</t>
        </is>
      </c>
      <c r="E9" s="34" t="inlineStr">
        <is>
          <t>LIVE</t>
        </is>
      </c>
    </row>
    <row r="10" ht="64" customHeight="1">
      <c r="A10" s="26" t="inlineStr">
        <is>
          <t>Jul 5</t>
        </is>
      </c>
      <c r="B10" s="33" t="inlineStr">
        <is>
          <t>Real OTP delivery only: nodemailer SMTP + Resend + Brevo support, .env loader, .env.example, demo codes removed everywhere; phone login hidden without Twilio.</t>
        </is>
      </c>
      <c r="C10" s="26" t="inlineStr">
        <is>
          <t>e7f95f5</t>
        </is>
      </c>
      <c r="D10" s="26" t="inlineStr">
        <is>
          <t>Ran a real local SMTP server; code arrived in the actual email; verified with it.</t>
        </is>
      </c>
      <c r="E10" s="34" t="inlineStr">
        <is>
          <t>LIVE</t>
        </is>
      </c>
    </row>
    <row r="11" ht="64" customHeight="1">
      <c r="A11" s="26" t="inlineStr">
        <is>
          <t>Jul 5</t>
        </is>
      </c>
      <c r="B11" s="33" t="inlineStr">
        <is>
          <t>Security hardening: crypto-grade OTP codes, 5-miss code kill, login lockout 10/15min, signup 20/hr/IP, SMS caps 3/hr/number + 8/hr/IP, resend throttles.</t>
        </is>
      </c>
      <c r="C11" s="26" t="inlineStr">
        <is>
          <t>e7f95f5</t>
        </is>
      </c>
      <c r="D11" s="26" t="inlineStr">
        <is>
          <t>Unit tests green; manual cap tests.</t>
        </is>
      </c>
      <c r="E11" s="34" t="inlineStr">
        <is>
          <t>LIVE</t>
        </is>
      </c>
    </row>
    <row r="12" ht="64" customHeight="1">
      <c r="A12" s="26" t="inlineStr">
        <is>
          <t>Jul 5</t>
        </is>
      </c>
      <c r="B12" s="33" t="inlineStr">
        <is>
          <t>Auth UI v2: animated scene (gradient blobs, rising card, shake-on-error), worker/employer role cards, password eye, 6-box OTP with auto-advance/paste/auto-submit, trust badges, reduced-motion.</t>
        </is>
      </c>
      <c r="C12" s="26" t="inlineStr">
        <is>
          <t>e7f95f5</t>
        </is>
      </c>
      <c r="D12" s="26" t="inlineStr">
        <is>
          <t>Browser-verified + screenshots; typed a real code -&gt; auto-submitted -&gt; home.</t>
        </is>
      </c>
      <c r="E12" s="34" t="inlineStr">
        <is>
          <t>LIVE</t>
        </is>
      </c>
    </row>
    <row r="13" ht="64" customHeight="1">
      <c r="A13" s="26" t="inlineStr">
        <is>
          <t>Jul 5</t>
        </is>
      </c>
      <c r="B13" s="33" t="inlineStr">
        <is>
          <t>Login accepts email OR mobile number in one field (phone path -&gt; SMS OTP).</t>
        </is>
      </c>
      <c r="C13" s="26" t="inlineStr">
        <is>
          <t>7071823</t>
        </is>
      </c>
      <c r="D13" s="26" t="inlineStr">
        <is>
          <t>Browser test: password hides, button flips to "Text me a code"; email path unchanged.</t>
        </is>
      </c>
      <c r="E13" s="34" t="inlineStr">
        <is>
          <t>LIVE</t>
        </is>
      </c>
    </row>
    <row r="14" ht="64" customHeight="1">
      <c r="A14" s="26" t="inlineStr">
        <is>
          <t>Jul 6</t>
        </is>
      </c>
      <c r="B14" s="33" t="inlineStr">
        <is>
          <t>healthz self-diagnostics: build hash + feature flags (email/sms/google/db) + per-port SMTP verdict; boot log of auth providers.</t>
        </is>
      </c>
      <c r="C14" s="26" t="inlineStr">
        <is>
          <t>ac24092, 45b7a56</t>
        </is>
      </c>
      <c r="D14" s="26" t="inlineStr">
        <is>
          <t>Live probe of rivet-crewline.onrender.com/healthz.</t>
        </is>
      </c>
      <c r="E14" s="34" t="inlineStr">
        <is>
          <t>LIVE</t>
        </is>
      </c>
    </row>
    <row r="15" ht="64" customHeight="1">
      <c r="A15" s="26" t="inlineStr">
        <is>
          <t>Jul 6</t>
        </is>
      </c>
      <c r="B15" s="33" t="inlineStr">
        <is>
          <t>Email delivery forensics on Render: IPv6 ENETUNREACH -&gt; forced IPv4 -&gt; port timeout -&gt; dual-port self-heal (465/587) -&gt; VERDICT: Render firewalls ALL outbound SMTP. Automatic fallback SMTP-&gt;Brevo/Resend API shipped. Fail-fast sends + on-screen "could not send" banner.</t>
        </is>
      </c>
      <c r="C15" s="26" t="inlineStr">
        <is>
          <t>6d5b214, 5dba153, 76d0473</t>
        </is>
      </c>
      <c r="D15" s="26" t="inlineStr">
        <is>
          <t>Live healthz showed each stage; both ports timeout = platform block, proven.</t>
        </is>
      </c>
      <c r="E15" s="35" t="inlineStr">
        <is>
          <t>LIVE (needs BREVO_API_KEY)</t>
        </is>
      </c>
    </row>
    <row r="16" ht="64" customHeight="1">
      <c r="A16" s="26" t="inlineStr">
        <is>
          <t>Jul 6</t>
        </is>
      </c>
      <c r="B16" s="33" t="inlineStr">
        <is>
          <t>Production config verified live: Google ON, Twilio ON, Turso ON (persistent data), email enforcement ON.</t>
        </is>
      </c>
      <c r="C16" s="26" t="inlineStr">
        <is>
          <t>healthz probe</t>
        </is>
      </c>
      <c r="D16" s="26" t="inlineStr">
        <is>
          <t>sms:on google:on db:turso email-otp:on on live site.</t>
        </is>
      </c>
      <c r="E16" s="34" t="inlineStr">
        <is>
          <t>LIVE</t>
        </is>
      </c>
    </row>
    <row r="17" ht="64" customHeight="1">
      <c r="A17" s="26" t="inlineStr">
        <is>
          <t>Jul 6</t>
        </is>
      </c>
      <c r="B17" s="33" t="inlineStr">
        <is>
          <t>Credential verification pipeline v1: proof photo/link -&gt; pending -&gt; /admin human review -&gt; Verified badge (drives real scores). Admin panel: queue, proof viewer, user search, job moderation, stats.</t>
        </is>
      </c>
      <c r="C17" s="26" t="inlineStr">
        <is>
          <t>5b2db91</t>
        </is>
      </c>
      <c r="D17" s="26" t="inlineStr">
        <is>
          <t>Live E2E on prod: submitted forklift proof -&gt; "In review" -&gt; approved via /admin -&gt; Verified.</t>
        </is>
      </c>
      <c r="E17" s="34" t="inlineStr">
        <is>
          <t>LIVE</t>
        </is>
      </c>
    </row>
    <row r="18" ht="64" customHeight="1">
      <c r="A18" s="26" t="inlineStr">
        <is>
          <t>Jul 6</t>
        </is>
      </c>
      <c r="B18" s="33" t="inlineStr">
        <is>
          <t>Legal &amp; compliance: /terms /privacy /eeo + full account deletion (cascade tested; found &amp; fixed crew_members column bug). PWA: manifest + SW + icon (installable). ICS calendar invites for confirmed interviews.</t>
        </is>
      </c>
      <c r="C18" s="26" t="inlineStr">
        <is>
          <t>5b2db91</t>
        </is>
      </c>
      <c r="D18" s="26" t="inlineStr">
        <is>
          <t>All routes 200 on prod; deleted test account cannot log in; .ics validated.</t>
        </is>
      </c>
      <c r="E18" s="34" t="inlineStr">
        <is>
          <t>LIVE</t>
        </is>
      </c>
    </row>
    <row r="19" ht="64" customHeight="1">
      <c r="A19" s="26" t="inlineStr">
        <is>
          <t>Jul 6-7</t>
        </is>
      </c>
      <c r="B19" s="33" t="inlineStr">
        <is>
          <t>Email delivery WORKING via Brevo API after full forensic chain (IPv6 ENETUNREACH -&gt; IPv4 -&gt; port-block proof -&gt; dual-port self-heal -&gt; API fallback). healthz shows from-address, last send error, admin config.</t>
        </is>
      </c>
      <c r="C19" s="26" t="inlineStr">
        <is>
          <t>f143cf9 + env</t>
        </is>
      </c>
      <c r="D19" s="26" t="inlineStr">
        <is>
          <t>Live signup sends with zero errors; senderr flag gone; healthz clean.</t>
        </is>
      </c>
      <c r="E19" s="34" t="inlineStr">
        <is>
          <t>LIVE</t>
        </is>
      </c>
    </row>
    <row r="20" ht="64" customHeight="1">
      <c r="A20" s="26" t="inlineStr">
        <is>
          <t>Jul 7</t>
        </is>
      </c>
      <c r="B20" s="33" t="inlineStr">
        <is>
          <t>Site-wide UI polish: page ease-in, top progress bar on navigation, submit-button spinners + double-click guard, card hover/scroll reveals, nav underline animations. Reduced-motion respected.</t>
        </is>
      </c>
      <c r="C20" s="26" t="inlineStr">
        <is>
          <t>2a8d53d</t>
        </is>
      </c>
      <c r="D20" s="26" t="inlineStr">
        <is>
          <t>Browser-verified (spinner activates, pageIn animation, zero console errors); live on prod build 5068a27.</t>
        </is>
      </c>
      <c r="E20" s="34" t="inlineStr">
        <is>
          <t>LIVE</t>
        </is>
      </c>
    </row>
    <row r="21" ht="64" customHeight="1">
      <c r="A21" s="26" t="inlineStr">
        <is>
          <t>Jul 7</t>
        </is>
      </c>
      <c r="B21" s="33" t="inlineStr">
        <is>
          <t>Production data hygiene: removed 15 test accounts + cascaded data from Turso prod; kept admin + demo accounts. ADMIN_EMAILS live (2 admins).</t>
        </is>
      </c>
      <c r="C21" s="26" t="inlineStr">
        <is>
          <t>direct DB op</t>
        </is>
      </c>
      <c r="D21" s="26" t="inlineStr">
        <is>
          <t>Post-delete query: only intended accounts remain; healthz: admin 2 configured.</t>
        </is>
      </c>
      <c r="E21" s="34" t="inlineStr">
        <is>
          <t>LIVE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6" customWidth="1" min="1" max="1"/>
    <col width="16" customWidth="1" min="2" max="2"/>
    <col width="64" customWidth="1" min="3" max="3"/>
    <col width="10" customWidth="1" min="4" max="4"/>
  </cols>
  <sheetData>
    <row r="1" ht="30" customHeight="1">
      <c r="A1" s="1" t="inlineStr">
        <is>
          <t>05 - Market: why blue-collar hiring, why now, and the wedge</t>
        </is>
      </c>
    </row>
    <row r="2" ht="22" customHeight="1">
      <c r="A2" s="2" t="inlineStr">
        <is>
          <t>Blue text = assumptions you can change. Black = computed. Figures as of early 2026 knowledge - re-verify before fundraising.</t>
        </is>
      </c>
    </row>
    <row r="4" ht="26" customHeight="1">
      <c r="A4" s="6" t="inlineStr">
        <is>
          <t>Driver</t>
        </is>
      </c>
      <c r="B4" s="6" t="inlineStr">
        <is>
          <t>Value</t>
        </is>
      </c>
      <c r="C4" s="6" t="inlineStr">
        <is>
          <t>Source / note</t>
        </is>
      </c>
      <c r="D4" s="6" t="inlineStr"/>
    </row>
    <row r="5" ht="26" customHeight="1">
      <c r="A5" s="27" t="inlineStr">
        <is>
          <t>US staffing industry revenue ($B)</t>
        </is>
      </c>
      <c r="B5" s="36" t="n">
        <v>190</v>
      </c>
      <c r="C5" s="37" t="inlineStr">
        <is>
          <t>Source: SIA staffing industry forecasts, 2025 estimate.</t>
        </is>
      </c>
    </row>
    <row r="6" ht="26" customHeight="1">
      <c r="A6" s="27" t="inlineStr">
        <is>
          <t>Share addressable to blue-collar / industrial / trades / care</t>
        </is>
      </c>
      <c r="B6" s="38" t="n">
        <v>0.42</v>
      </c>
      <c r="C6" s="37" t="inlineStr">
        <is>
          <t>Source: SIA segment mix (industrial+healthcare+other blue-collar), analyst consensus.</t>
        </is>
      </c>
    </row>
    <row r="7" ht="26" customHeight="1">
      <c r="A7" s="27" t="inlineStr">
        <is>
          <t>TAM - blue-collar staffing &amp; hiring ($B)</t>
        </is>
      </c>
      <c r="B7" s="39">
        <f>B5*B6</f>
        <v/>
      </c>
      <c r="C7" s="37" t="inlineStr">
        <is>
          <t>Computed.</t>
        </is>
      </c>
    </row>
    <row r="8" ht="26" customHeight="1">
      <c r="A8" s="27" t="inlineStr">
        <is>
          <t>SAM: our 3 GTM sectors (semiconductor fabs, manufacturing, healthcare support) share</t>
        </is>
      </c>
      <c r="B8" s="38" t="n">
        <v>0.35</v>
      </c>
      <c r="C8" s="37" t="inlineStr">
        <is>
          <t>App already tags jobs by these sectors; CHIPS-act fab buildout + care demand.</t>
        </is>
      </c>
    </row>
    <row r="9" ht="26" customHeight="1">
      <c r="A9" s="27" t="inlineStr">
        <is>
          <t>SAM ($B)</t>
        </is>
      </c>
      <c r="B9" s="39">
        <f>B7*B8</f>
        <v/>
      </c>
      <c r="C9" s="37" t="inlineStr">
        <is>
          <t>Computed.</t>
        </is>
      </c>
    </row>
    <row r="10" ht="26" customHeight="1">
      <c r="A10" s="27" t="inlineStr">
        <is>
          <t>SOM Year-1: one metro (Phoenix), bottom-up</t>
        </is>
      </c>
      <c r="B10" s="36" t="inlineStr"/>
      <c r="C10" s="37" t="inlineStr">
        <is>
          <t>Bottom-up below is the honest number for a seed pitch.</t>
        </is>
      </c>
    </row>
    <row r="11" ht="26" customHeight="1">
      <c r="A11" s="27" t="inlineStr">
        <is>
          <t xml:space="preserve">  Verified workers on platform (12-mo goal)</t>
        </is>
      </c>
      <c r="B11" s="36" t="n">
        <v>200</v>
      </c>
      <c r="C11" s="37" t="inlineStr">
        <is>
          <t>GTM target - achievable via crew referrals + trade schools.</t>
        </is>
      </c>
    </row>
    <row r="12" ht="26" customHeight="1">
      <c r="A12" s="27" t="inlineStr">
        <is>
          <t xml:space="preserve">  Direct-hire placements / yr</t>
        </is>
      </c>
      <c r="B12" s="36" t="n">
        <v>150</v>
      </c>
      <c r="C12" s="37" t="inlineStr">
        <is>
          <t>Conservative: &lt;1 per verified worker.</t>
        </is>
      </c>
    </row>
    <row r="13" ht="26" customHeight="1">
      <c r="A13" s="27" t="inlineStr">
        <is>
          <t xml:space="preserve">  Avg placement fee ($)</t>
        </is>
      </c>
      <c r="B13" s="36" t="n">
        <v>1200</v>
      </c>
      <c r="C13" s="37" t="inlineStr">
        <is>
          <t>Flat fee well under the 15-20% agency norm - undercut wedge.</t>
        </is>
      </c>
    </row>
    <row r="14" ht="26" customHeight="1">
      <c r="A14" s="27" t="inlineStr">
        <is>
          <t xml:space="preserve">  Placement revenue ($)</t>
        </is>
      </c>
      <c r="B14" s="40">
        <f>B12*B13</f>
        <v/>
      </c>
      <c r="C14" s="37" t="inlineStr">
        <is>
          <t>Computed.</t>
        </is>
      </c>
    </row>
    <row r="15" ht="26" customHeight="1">
      <c r="A15" s="27" t="inlineStr">
        <is>
          <t xml:space="preserve">  Shifts filled / week (by month 12)</t>
        </is>
      </c>
      <c r="B15" s="36" t="n">
        <v>300</v>
      </c>
      <c r="C15" s="37" t="inlineStr">
        <is>
          <t>Instawork/Traba playbook, single metro.</t>
        </is>
      </c>
    </row>
    <row r="16" ht="26" customHeight="1">
      <c r="A16" s="27" t="inlineStr">
        <is>
          <t xml:space="preserve">  Avg shift value ($)</t>
        </is>
      </c>
      <c r="B16" s="36" t="n">
        <v>150</v>
      </c>
      <c r="C16" s="37" t="inlineStr">
        <is>
          <t>~8h x $18-20 blended.</t>
        </is>
      </c>
    </row>
    <row r="17" ht="26" customHeight="1">
      <c r="A17" s="27" t="inlineStr">
        <is>
          <t xml:space="preserve">  Take rate</t>
        </is>
      </c>
      <c r="B17" s="38" t="n">
        <v>0.25</v>
      </c>
      <c r="C17" s="37" t="inlineStr">
        <is>
          <t>Market range is 25-40%.</t>
        </is>
      </c>
    </row>
    <row r="18" ht="26" customHeight="1">
      <c r="A18" s="27" t="inlineStr">
        <is>
          <t xml:space="preserve">  Shift GMV / yr ($)</t>
        </is>
      </c>
      <c r="B18" s="41">
        <f>B15*52*B16</f>
        <v/>
      </c>
      <c r="C18" s="37" t="inlineStr">
        <is>
          <t>Computed.</t>
        </is>
      </c>
    </row>
    <row r="19" ht="26" customHeight="1">
      <c r="A19" s="27" t="inlineStr">
        <is>
          <t xml:space="preserve">  Shift revenue / yr ($)</t>
        </is>
      </c>
      <c r="B19" s="40">
        <f>B18*B17</f>
        <v/>
      </c>
      <c r="C19" s="37" t="inlineStr">
        <is>
          <t>Computed.</t>
        </is>
      </c>
    </row>
    <row r="20" ht="26" customHeight="1">
      <c r="A20" s="27" t="inlineStr">
        <is>
          <t>SOM Year-1 revenue ($)</t>
        </is>
      </c>
      <c r="B20" s="40">
        <f>B14+B19</f>
        <v/>
      </c>
      <c r="C20" s="37" t="inlineStr">
        <is>
          <t>Placement + shift take. This is the seed-stage story: ~$0.75M run-rate exiting year 1 in ONE metro.</t>
        </is>
      </c>
    </row>
    <row r="22">
      <c r="A22" s="42" t="inlineStr">
        <is>
          <t>Why now (the demand tailwind)</t>
        </is>
      </c>
    </row>
    <row r="23" ht="34" customHeight="1">
      <c r="A23" s="43" t="inlineStr">
        <is>
          <t>* Skilled-trades shortage is structural: 439,000 unfilled construction roles in 2025 (ABC - VERIFIED); 2026 projections 350-500k; ~41% of construction workforce retiring by 2031 (NCCER); shortage is now the #1 cause of project delays (45% of contractors).</t>
        </is>
      </c>
    </row>
    <row r="24" ht="34" customHeight="1">
      <c r="A24" s="43" t="inlineStr">
        <is>
          <t>* Semiconductor buildout (CHIPS Act): 60-90k fab-adjacent technician shortfall projected by 2030 (SIA/McKinsey) - Phoenix (TSMC/Intel) is ground zero, and the app ALREADY ingests these employers’ live jobs.</t>
        </is>
      </c>
    </row>
    <row r="25" ht="34" customHeight="1">
      <c r="A25" s="43" t="inlineStr">
        <is>
          <t>* Healthcare support (CNA/caregiver/med-tech): ~800k+ openings/yr, fastest-growing US occupations (BLS) - already a first-class sector in the app.</t>
        </is>
      </c>
    </row>
    <row r="26" ht="34" customHeight="1">
      <c r="A26" s="43" t="inlineStr">
        <is>
          <t>* Incumbent agencies charge 15-25% placement fees with zero software experience; workers have no portable verified identity. Both sides are ready to switch.</t>
        </is>
      </c>
    </row>
    <row r="28">
      <c r="A28" s="42" t="inlineStr">
        <is>
          <t>GTM motion (the wedge)</t>
        </is>
      </c>
    </row>
    <row r="29" ht="32" customHeight="1">
      <c r="A29" s="43" t="inlineStr">
        <is>
          <t>* Phase 0 (now): keep aggregating real jobs -&gt; SEO + worker acquisition for free. Workers come for real jobs, stay for the verified Work Card.</t>
        </is>
      </c>
    </row>
    <row r="30" ht="32" customHeight="1">
      <c r="A30" s="43" t="inlineStr">
        <is>
          <t>* Phase 1 (90d): Phoenix. Partner with 2-3 trade schools + community colleges for verified-credential workers; sign 10 SMB mechanical/electrical contractors + 1 fab-services vendor as design partners (free, then paid).</t>
        </is>
      </c>
    </row>
    <row r="31" ht="32" customHeight="1">
      <c r="A31" s="43" t="inlineStr">
        <is>
          <t>* Phase 2 (6mo): turn on payments for shifts; charge placement fees; Show-Up Score + verified credentials become the sales pitch ("hire someone who shows up, licensed - or your fee back").</t>
        </is>
      </c>
    </row>
    <row r="32" ht="32" customHeight="1">
      <c r="A32" s="43" t="inlineStr">
        <is>
          <t>* Phase 3 (12mo): second metro (Austin or Columbus - fab corridors), native app, W-2 engine decision.</t>
        </is>
      </c>
    </row>
  </sheetData>
  <mergeCells count="12">
    <mergeCell ref="A1:D1"/>
    <mergeCell ref="A23:D23"/>
    <mergeCell ref="A31:D31"/>
    <mergeCell ref="A22:D22"/>
    <mergeCell ref="A26:D26"/>
    <mergeCell ref="A30:D30"/>
    <mergeCell ref="A29:D29"/>
    <mergeCell ref="A25:D25"/>
    <mergeCell ref="A24:D24"/>
    <mergeCell ref="A2:D2"/>
    <mergeCell ref="A28:D28"/>
    <mergeCell ref="A32:D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16" customWidth="1" min="1" max="1"/>
    <col width="44" customWidth="1" min="2" max="2"/>
    <col width="42" customWidth="1" min="3" max="3"/>
    <col width="12" customWidth="1" min="4" max="4"/>
    <col width="14" customWidth="1" min="5" max="5"/>
    <col width="40" customWidth="1" min="6" max="6"/>
  </cols>
  <sheetData>
    <row r="1" ht="30" customHeight="1">
      <c r="A1" s="1" t="inlineStr">
        <is>
          <t>06 - The end-to-end roadmap: from today to a full-fledged startup</t>
        </is>
      </c>
    </row>
    <row r="2" ht="22" customHeight="1">
      <c r="A2" s="2" t="inlineStr">
        <is>
          <t>Ordered by dependency, not by excitement. Effort assumes 1-2 builders + AI pair. Every row maps back to a gap in 01a.</t>
        </is>
      </c>
    </row>
    <row r="4" ht="26" customHeight="1">
      <c r="A4" s="6" t="inlineStr">
        <is>
          <t>Horizon</t>
        </is>
      </c>
      <c r="B4" s="6" t="inlineStr">
        <is>
          <t>Item</t>
        </is>
      </c>
      <c r="C4" s="6" t="inlineStr">
        <is>
          <t>Why (which gap it closes)</t>
        </is>
      </c>
      <c r="D4" s="6" t="inlineStr">
        <is>
          <t>Effort</t>
        </is>
      </c>
      <c r="E4" s="6" t="inlineStr">
        <is>
          <t>Cost</t>
        </is>
      </c>
      <c r="F4" s="6" t="inlineStr">
        <is>
          <t>Definition of done</t>
        </is>
      </c>
    </row>
    <row r="5" ht="48" customHeight="1">
      <c r="A5" s="34" t="inlineStr">
        <is>
          <t>Day 0 (this week)</t>
        </is>
      </c>
      <c r="B5" s="32" t="inlineStr">
        <is>
          <t>✔ Add BREVO_API_KEY in Render</t>
        </is>
      </c>
      <c r="C5" s="26" t="inlineStr">
        <is>
          <t>Email OTP delivery (only gap in Ring-1 auth). Render firewalls SMTP - proven.</t>
        </is>
      </c>
      <c r="D5" s="26" t="inlineStr">
        <is>
          <t>5 min</t>
        </is>
      </c>
      <c r="E5" s="26" t="inlineStr">
        <is>
          <t>$0</t>
        </is>
      </c>
      <c r="F5" s="60" t="inlineStr">
        <is>
          <t>DONE Jul 7 — delivery verified live</t>
        </is>
      </c>
    </row>
    <row r="6" ht="48" customHeight="1">
      <c r="A6" s="34" t="inlineStr">
        <is>
          <t>Day 0 (this week)</t>
        </is>
      </c>
      <c r="B6" s="32" t="inlineStr">
        <is>
          <t>Consolidate to ONE GitHub repo (KaryampudiMadhav) on Render + Vercel</t>
        </is>
      </c>
      <c r="C6" s="26" t="inlineStr">
        <is>
          <t>Deploys currently need pushing to two repos.</t>
        </is>
      </c>
      <c r="D6" s="26" t="inlineStr">
        <is>
          <t>15 min</t>
        </is>
      </c>
      <c r="E6" s="26" t="inlineStr">
        <is>
          <t>$0</t>
        </is>
      </c>
      <c r="F6" s="31" t="inlineStr">
        <is>
          <t>Push once -&gt; both deploy.</t>
        </is>
      </c>
    </row>
    <row r="7" ht="48" customHeight="1">
      <c r="A7" s="34" t="inlineStr">
        <is>
          <t>Day 0 (this week)</t>
        </is>
      </c>
      <c r="B7" s="32" t="inlineStr">
        <is>
          <t>Buy domain; point Vercel + Render; upgrade Render Starter</t>
        </is>
      </c>
      <c r="C7" s="26" t="inlineStr">
        <is>
          <t>Brand + kill cold starts.</t>
        </is>
      </c>
      <c r="D7" s="26" t="inlineStr">
        <is>
          <t>1 hr</t>
        </is>
      </c>
      <c r="E7" s="26" t="inlineStr">
        <is>
          <t>~$20/mo</t>
        </is>
      </c>
      <c r="F7" s="31" t="inlineStr">
        <is>
          <t>rivetcrewline.com live, no 30s cold start.</t>
        </is>
      </c>
    </row>
    <row r="8" ht="48" customHeight="1">
      <c r="A8" s="34" t="inlineStr">
        <is>
          <t>Sprint 1 (wk 1-2)</t>
        </is>
      </c>
      <c r="B8" s="32" t="inlineStr">
        <is>
          <t>✔ Credential verification v1: admin review queue + manual state-board lookups (AZ ROC, EPA 608, OSHA cards via issuer portals); "Verified by Rivet" badge only after review</t>
        </is>
      </c>
      <c r="C8" s="26" t="inlineStr">
        <is>
          <t>THE MOAT. Homepage promise is currently demo-only (Critical).</t>
        </is>
      </c>
      <c r="D8" s="26" t="inlineStr">
        <is>
          <t>1-2 wk</t>
        </is>
      </c>
      <c r="E8" s="26" t="inlineStr">
        <is>
          <t>$0</t>
        </is>
      </c>
      <c r="F8" s="60" t="inlineStr">
        <is>
          <t>DONE Jul 6 (review pipeline live; state-board lookups still to do)</t>
        </is>
      </c>
    </row>
    <row r="9" ht="48" customHeight="1">
      <c r="A9" s="34" t="inlineStr">
        <is>
          <t>Sprint 1 (wk 1-2)</t>
        </is>
      </c>
      <c r="B9" s="32" t="inlineStr">
        <is>
          <t>✔ Minimal /admin panel (guarded): user lookup, credential queue, job moderation</t>
        </is>
      </c>
      <c r="C9" s="26" t="inlineStr">
        <is>
          <t>Ops blocker - ops is SQL console today (High).</t>
        </is>
      </c>
      <c r="D9" s="26" t="inlineStr">
        <is>
          <t>3-4 d</t>
        </is>
      </c>
      <c r="E9" s="26" t="inlineStr">
        <is>
          <t>$0</t>
        </is>
      </c>
      <c r="F9" s="60" t="inlineStr">
        <is>
          <t>DONE Jul 6 — live on prod</t>
        </is>
      </c>
    </row>
    <row r="10" ht="48" customHeight="1">
      <c r="A10" s="35" t="inlineStr">
        <is>
          <t>Sprint 2 (wk 3-4)</t>
        </is>
      </c>
      <c r="B10" s="32" t="inlineStr">
        <is>
          <t>Real file uploads (Cloudflare R2 presigned) for credential proofs + portfolio</t>
        </is>
      </c>
      <c r="C10" s="26" t="inlineStr">
        <is>
          <t>Verification needs documents (Medium).</t>
        </is>
      </c>
      <c r="D10" s="26" t="inlineStr">
        <is>
          <t>2-3 d</t>
        </is>
      </c>
      <c r="E10" s="26" t="inlineStr">
        <is>
          <t>$0 tier</t>
        </is>
      </c>
      <c r="F10" s="31" t="inlineStr">
        <is>
          <t>Upload from phone camera works.</t>
        </is>
      </c>
    </row>
    <row r="11" ht="48" customHeight="1">
      <c r="A11" s="34" t="inlineStr">
        <is>
          <t>Sprint 2 (wk 3-4)</t>
        </is>
      </c>
      <c r="B11" s="32" t="inlineStr">
        <is>
          <t>✔ ToS + Privacy Policy + EEO statement pages; data-deletion endpoint</t>
        </is>
      </c>
      <c r="C11" s="26" t="inlineStr">
        <is>
          <t>Legal exposure with real users (Critical).</t>
        </is>
      </c>
      <c r="D11" s="26" t="inlineStr">
        <is>
          <t>2 d + review</t>
        </is>
      </c>
      <c r="E11" s="26" t="inlineStr">
        <is>
          <t>~$500 counsel</t>
        </is>
      </c>
      <c r="F11" s="60" t="inlineStr">
        <is>
          <t>DONE Jul 6 (counsel review still pending)</t>
        </is>
      </c>
    </row>
    <row r="12" ht="48" customHeight="1">
      <c r="A12" s="44" t="inlineStr">
        <is>
          <t>30-60d</t>
        </is>
      </c>
      <c r="B12" s="32" t="inlineStr">
        <is>
          <t>Checkr background-check integration (consent flow, webhook results, employer filter)</t>
        </is>
      </c>
      <c r="C12" s="26" t="inlineStr">
        <is>
          <t>Employer trust (Critical).</t>
        </is>
      </c>
      <c r="D12" s="26" t="inlineStr">
        <is>
          <t>1 wk</t>
        </is>
      </c>
      <c r="E12" s="26" t="inlineStr">
        <is>
          <t>per-check pass-through</t>
        </is>
      </c>
      <c r="F12" s="31" t="inlineStr">
        <is>
          <t>Sandbox E2E; employers see BGC badge.</t>
        </is>
      </c>
    </row>
    <row r="13" ht="48" customHeight="1">
      <c r="A13" s="44" t="inlineStr">
        <is>
          <t>30-60d</t>
        </is>
      </c>
      <c r="B13" s="32" t="inlineStr">
        <is>
          <t>Web push notifications + Brevo email digests (new matches, application updates, shift alerts)</t>
        </is>
      </c>
      <c r="C13" s="26" t="inlineStr">
        <is>
          <t>Fill speed + retention (High).</t>
        </is>
      </c>
      <c r="D13" s="26" t="inlineStr">
        <is>
          <t>1 wk</t>
        </is>
      </c>
      <c r="E13" s="26" t="inlineStr">
        <is>
          <t>$0</t>
        </is>
      </c>
      <c r="F13" s="31" t="inlineStr">
        <is>
          <t>Push opt-in &gt;30%; shift alert -&gt; claim loop measured.</t>
        </is>
      </c>
    </row>
    <row r="14" ht="48" customHeight="1">
      <c r="A14" s="44" t="inlineStr">
        <is>
          <t>30-60d</t>
        </is>
      </c>
      <c r="B14" s="32" t="inlineStr">
        <is>
          <t>Sentry error tracking + uptime alerts</t>
        </is>
      </c>
      <c r="C14" s="26" t="inlineStr">
        <is>
          <t>Observability (Medium).</t>
        </is>
      </c>
      <c r="D14" s="26" t="inlineStr">
        <is>
          <t>half day</t>
        </is>
      </c>
      <c r="E14" s="26" t="inlineStr">
        <is>
          <t>$0 tier</t>
        </is>
      </c>
      <c r="F14" s="31" t="inlineStr">
        <is>
          <t>Errors alert before users report.</t>
        </is>
      </c>
    </row>
    <row r="15" ht="48" customHeight="1">
      <c r="A15" s="45" t="inlineStr">
        <is>
          <t>60-90d</t>
        </is>
      </c>
      <c r="B15" s="32" t="inlineStr">
        <is>
          <t>Stripe Connect Express payouts on the shifts board (one metro pilot); employer billing + 25% take</t>
        </is>
      </c>
      <c r="C15" s="26" t="inlineStr">
        <is>
          <t>First revenue (Critical). Validates the Instawork/Traba model on our rails.</t>
        </is>
      </c>
      <c r="D15" s="26" t="inlineStr">
        <is>
          <t>2-3 wk</t>
        </is>
      </c>
      <c r="E15" s="26" t="inlineStr">
        <is>
          <t>Stripe fees</t>
        </is>
      </c>
      <c r="F15" s="31" t="inlineStr">
        <is>
          <t>A real worker gets a real payout; take-rate revenue in Stripe.</t>
        </is>
      </c>
    </row>
    <row r="16" ht="48" customHeight="1">
      <c r="A16" s="45" t="inlineStr">
        <is>
          <t>60-90d</t>
        </is>
      </c>
      <c r="B16" s="32" t="inlineStr">
        <is>
          <t>Pricing v1 for direct hire: flat $1,200 placement fee, money-back if no-show in 7 days (Show-Up Score guarantee)</t>
        </is>
      </c>
      <c r="C16" s="26" t="inlineStr">
        <is>
          <t>Monetize the ATS side (Critical).</t>
        </is>
      </c>
      <c r="D16" s="26" t="inlineStr">
        <is>
          <t>1 wk</t>
        </is>
      </c>
      <c r="E16" s="26" t="inlineStr">
        <is>
          <t>$0</t>
        </is>
      </c>
      <c r="F16" s="31" t="inlineStr">
        <is>
          <t>First paid placement.</t>
        </is>
      </c>
    </row>
    <row r="17" ht="48" customHeight="1">
      <c r="A17" s="45" t="inlineStr">
        <is>
          <t>60-90d</t>
        </is>
      </c>
      <c r="B17" s="32" t="inlineStr">
        <is>
          <t>Programmatic SEO: /jobs/{metro}/{trade} landing pages from live data + ICS calendar invites on interviews</t>
        </is>
      </c>
      <c r="C17" s="26" t="inlineStr">
        <is>
          <t>Free worker acquisition (Medium).</t>
        </is>
      </c>
      <c r="D17" s="26" t="inlineStr">
        <is>
          <t>1 wk</t>
        </is>
      </c>
      <c r="E17" s="26" t="inlineStr">
        <is>
          <t>$0</t>
        </is>
      </c>
      <c r="F17" s="31" t="inlineStr">
        <is>
          <t>1k+ indexed pages; organic signups measurable.</t>
        </is>
      </c>
    </row>
    <row r="18" ht="48" customHeight="1">
      <c r="A18" s="46" t="inlineStr">
        <is>
          <t>90d</t>
        </is>
      </c>
      <c r="B18" s="32" t="inlineStr">
        <is>
          <t>Phoenix GTM: 2-3 trade-school partnerships, 10 design-partner employers, 200 verified workers</t>
        </is>
      </c>
      <c r="C18" s="26" t="inlineStr">
        <is>
          <t>Liquidity (Critical - the startup problem).</t>
        </is>
      </c>
      <c r="D18" s="26" t="inlineStr">
        <is>
          <t>ongoing</t>
        </is>
      </c>
      <c r="E18" s="26" t="inlineStr">
        <is>
          <t>founder time</t>
        </is>
      </c>
      <c r="F18" s="31" t="inlineStr">
        <is>
          <t>200 verified workers, 10 employers, 50 shift claims/wk.</t>
        </is>
      </c>
    </row>
    <row r="19" ht="48" customHeight="1">
      <c r="A19" s="34" t="inlineStr">
        <is>
          <t>90d</t>
        </is>
      </c>
      <c r="B19" s="32" t="inlineStr">
        <is>
          <t>✔ PWA manifest + Capacitor mobile wrapper (app-store presence)</t>
        </is>
      </c>
      <c r="C19" s="26" t="inlineStr">
        <is>
          <t>Worker retention (High).</t>
        </is>
      </c>
      <c r="D19" s="26" t="inlineStr">
        <is>
          <t>1-2 wk</t>
        </is>
      </c>
      <c r="E19" s="26" t="inlineStr">
        <is>
          <t>$99+$25 stores</t>
        </is>
      </c>
      <c r="F19" s="60" t="inlineStr">
        <is>
          <t>PWA half DONE Jul 6 (installable); Capacitor wrapper remains</t>
        </is>
      </c>
    </row>
    <row r="20" ht="48" customHeight="1">
      <c r="A20" s="47" t="inlineStr">
        <is>
          <t>6mo</t>
        </is>
      </c>
      <c r="B20" s="32" t="inlineStr">
        <is>
          <t>W-2 vs 1099 decision + payroll partner (Check/Zeal) + occupational-accident insurance</t>
        </is>
      </c>
      <c r="C20" s="26" t="inlineStr">
        <is>
          <t>Compliance before scaling shifts (Critical).</t>
        </is>
      </c>
      <c r="D20" s="26" t="inlineStr">
        <is>
          <t>counsel + 3-4 wk</t>
        </is>
      </c>
      <c r="E20" s="26" t="inlineStr">
        <is>
          <t>legal + premiums</t>
        </is>
      </c>
      <c r="F20" s="31" t="inlineStr">
        <is>
          <t>Classified workforce; insured shifts.</t>
        </is>
      </c>
    </row>
    <row r="21" ht="48" customHeight="1">
      <c r="A21" s="47" t="inlineStr">
        <is>
          <t>6mo</t>
        </is>
      </c>
      <c r="B21" s="32" t="inlineStr">
        <is>
          <t>Automated credential verification for top-10 licenses (state-board APIs/scrapers) + issuer webhooks</t>
        </is>
      </c>
      <c r="C21" s="26" t="inlineStr">
        <is>
          <t>Moat v2 - manual review does not scale.</t>
        </is>
      </c>
      <c r="D21" s="26" t="inlineStr">
        <is>
          <t>3-4 wk</t>
        </is>
      </c>
      <c r="E21" s="26" t="inlineStr">
        <is>
          <t>$0-500/mo</t>
        </is>
      </c>
      <c r="F21" s="31" t="inlineStr">
        <is>
          <t>80% of verifications automated &lt;24h.</t>
        </is>
      </c>
    </row>
    <row r="22" ht="48" customHeight="1">
      <c r="A22" s="48" t="inlineStr">
        <is>
          <t>6-12mo</t>
        </is>
      </c>
      <c r="B22" s="32" t="inlineStr">
        <is>
          <t>Second metro + employer ATS write-back + native apps + seed raise on the numbers above</t>
        </is>
      </c>
      <c r="C22" s="26" t="inlineStr">
        <is>
          <t>Scale (Ring 3).</t>
        </is>
      </c>
      <c r="D22" s="26" t="inlineStr">
        <is>
          <t>-</t>
        </is>
      </c>
      <c r="E22" s="26" t="inlineStr">
        <is>
          <t>-</t>
        </is>
      </c>
      <c r="F22" s="31" t="inlineStr">
        <is>
          <t>2 metros, ~$0.75M+ run-rate, raise-ready metrics dashboard.</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6" customWidth="1" min="1" max="1"/>
    <col width="14" customWidth="1" min="2" max="2"/>
    <col width="16" customWidth="1" min="3" max="3"/>
    <col width="66" customWidth="1" min="4" max="4"/>
  </cols>
  <sheetData>
    <row r="1" ht="30" customHeight="1">
      <c r="A1" s="1" t="inlineStr">
        <is>
          <t>07 - Top risks and how we blunt them</t>
        </is>
      </c>
    </row>
    <row r="2" ht="22" customHeight="1">
      <c r="A2" s="2" t="inlineStr">
        <is>
          <t>If any of these kills the company, it will be one of the first four.</t>
        </is>
      </c>
    </row>
    <row r="4" ht="26" customHeight="1">
      <c r="A4" s="6" t="inlineStr">
        <is>
          <t>Risk</t>
        </is>
      </c>
      <c r="B4" s="6" t="inlineStr">
        <is>
          <t>Likelihood</t>
        </is>
      </c>
      <c r="C4" s="6" t="inlineStr">
        <is>
          <t>Impact</t>
        </is>
      </c>
      <c r="D4" s="6" t="inlineStr">
        <is>
          <t>Mitigation</t>
        </is>
      </c>
    </row>
    <row r="5" ht="48" customHeight="1">
      <c r="A5" s="27" t="inlineStr">
        <is>
          <t>Chicken-and-egg liquidity: workers won’t come without jobs, employers without workers</t>
        </is>
      </c>
      <c r="B5" s="49" t="inlineStr">
        <is>
          <t>High</t>
        </is>
      </c>
      <c r="C5" s="50" t="inlineStr">
        <is>
          <t>Fatal</t>
        </is>
      </c>
      <c r="D5" s="28" t="inlineStr">
        <is>
          <t>Already blunted: live ingested REAL jobs mean workers get value on day 1 with zero employers signed. Focus density in ONE metro/vertical.</t>
        </is>
      </c>
    </row>
    <row r="6" ht="48" customHeight="1">
      <c r="A6" s="27" t="inlineStr">
        <is>
          <t>Worker misclassification (1099) once payments launch</t>
        </is>
      </c>
      <c r="B6" s="49" t="inlineStr">
        <is>
          <t>Medium</t>
        </is>
      </c>
      <c r="C6" s="50" t="inlineStr">
        <is>
          <t>Fatal (lawsuits)</t>
        </is>
      </c>
      <c r="D6" s="28" t="inlineStr">
        <is>
          <t>Counsel before first payout; consider W-2 via payroll partner; follow Instawork not Wonolo.</t>
        </is>
      </c>
    </row>
    <row r="7" ht="48" customHeight="1">
      <c r="A7" s="27" t="inlineStr">
        <is>
          <t>Verification promise vs reality gap ("verified" that isn’t)</t>
        </is>
      </c>
      <c r="B7" s="49" t="inlineStr">
        <is>
          <t>Medium</t>
        </is>
      </c>
      <c r="C7" s="51" t="inlineStr">
        <is>
          <t>Brand-fatal</t>
        </is>
      </c>
      <c r="D7" s="28" t="inlineStr">
        <is>
          <t>Ship manual verification BEFORE marketing it; badge only after real review; audit trail.</t>
        </is>
      </c>
    </row>
    <row r="8" ht="48" customHeight="1">
      <c r="A8" s="27" t="inlineStr">
        <is>
          <t>Free-tier infra fragility (Render cold starts, Turso limits)</t>
        </is>
      </c>
      <c r="B8" s="49" t="inlineStr">
        <is>
          <t>Medium</t>
        </is>
      </c>
      <c r="C8" s="52" t="inlineStr">
        <is>
          <t>High</t>
        </is>
      </c>
      <c r="D8" s="28" t="inlineStr">
        <is>
          <t>Starter plan $7/mo; keep-warm already live; healthz diagnostics already live; Docker escape hatch to any host.</t>
        </is>
      </c>
    </row>
    <row r="9" ht="48" customHeight="1">
      <c r="A9" s="27" t="inlineStr">
        <is>
          <t>ATS feeds change/block ingestion</t>
        </is>
      </c>
      <c r="B9" s="49" t="inlineStr">
        <is>
          <t>Medium</t>
        </is>
      </c>
      <c r="C9" s="51" t="inlineStr">
        <is>
          <t>Medium</t>
        </is>
      </c>
      <c r="D9" s="28" t="inlineStr">
        <is>
          <t>40 sources = diversified; dedupe/freshness engine already handles source loss gracefully; add sources monthly.</t>
        </is>
      </c>
    </row>
    <row r="10" ht="48" customHeight="1">
      <c r="A10" s="27" t="inlineStr">
        <is>
          <t>Incumbent response (Indeed/Instawork moves into verified trades)</t>
        </is>
      </c>
      <c r="B10" s="49" t="inlineStr">
        <is>
          <t>Low-Med</t>
        </is>
      </c>
      <c r="C10" s="52" t="inlineStr">
        <is>
          <t>High</t>
        </is>
      </c>
      <c r="D10" s="28" t="inlineStr">
        <is>
          <t>Speed + niche depth; verified Work Card portability + crew hiring are hard for generalists to copy quickly.</t>
        </is>
      </c>
    </row>
    <row r="11" ht="48" customHeight="1">
      <c r="A11" s="27" t="inlineStr">
        <is>
          <t>Solo-founder bus factor / velocity</t>
        </is>
      </c>
      <c r="B11" s="49" t="inlineStr">
        <is>
          <t>High</t>
        </is>
      </c>
      <c r="C11" s="52" t="inlineStr">
        <is>
          <t>High</t>
        </is>
      </c>
      <c r="D11" s="28" t="inlineStr">
        <is>
          <t>This week proved velocity (auth+security+UI+diagnostics shipped in days). Codebase is small, documented, AI-friendly. Hire #1: ops/GTM, not eng.</t>
        </is>
      </c>
    </row>
    <row r="12" ht="48" customHeight="1">
      <c r="A12" s="27" t="inlineStr">
        <is>
          <t>Twilio/SMS costs at scale (esp. India testing)</t>
        </is>
      </c>
      <c r="B12" s="49" t="inlineStr">
        <is>
          <t>Low</t>
        </is>
      </c>
      <c r="C12" s="51" t="inlineStr">
        <is>
          <t>Low</t>
        </is>
      </c>
      <c r="D12" s="28" t="inlineStr">
        <is>
          <t>Rate caps shipped; SMS only for high-intent moments; email/push first.</t>
        </is>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6" customWidth="1" min="1" max="1"/>
    <col width="34" customWidth="1" min="2" max="2"/>
    <col width="40" customWidth="1" min="3" max="3"/>
    <col width="26" customWidth="1" min="4" max="4"/>
  </cols>
  <sheetData>
    <row r="1" ht="30" customHeight="1">
      <c r="A1" s="1" t="inlineStr">
        <is>
          <t>08 - Sources &amp; verification status</t>
        </is>
      </c>
    </row>
    <row r="2" ht="22" customHeight="1">
      <c r="A2" s="2" t="inlineStr">
        <is>
          <t>Every external number in this study, where it came from, and whether it was live-verified on Jul 6, 2026.</t>
        </is>
      </c>
    </row>
    <row r="4" ht="26" customHeight="1">
      <c r="A4" s="6" t="inlineStr">
        <is>
          <t>Claim</t>
        </is>
      </c>
      <c r="B4" s="6" t="inlineStr">
        <is>
          <t>Source</t>
        </is>
      </c>
      <c r="C4" s="6" t="inlineStr">
        <is>
          <t>URL</t>
        </is>
      </c>
      <c r="D4" s="6" t="inlineStr">
        <is>
          <t>Status</t>
        </is>
      </c>
    </row>
    <row r="5" ht="40" customHeight="1">
      <c r="A5" s="55" t="inlineStr">
        <is>
          <t>Instawork: $160M total funding, $60M Series D (TCV); 4M+ workers (CB Insights: 10M+)</t>
        </is>
      </c>
      <c r="B5" s="26" t="inlineStr">
        <is>
          <t>Staffing Industry Analysts; Crunchbase; CB Insights</t>
        </is>
      </c>
      <c r="C5" s="26" t="inlineStr">
        <is>
          <t>staffingindustry.com / crunchbase.com/organization/instawork</t>
        </is>
      </c>
      <c r="D5" s="34" t="inlineStr">
        <is>
          <t>VERIFIED Jul 6, 2026</t>
        </is>
      </c>
    </row>
    <row r="6" ht="40" customHeight="1">
      <c r="A6" s="26" t="inlineStr">
        <is>
          <t>Traba: $43.6M total (seed + Series A + A2); Founders Fund-led; tens of thousands of workers</t>
        </is>
      </c>
      <c r="B6" s="26" t="inlineStr">
        <is>
          <t>GlobeNewswire; Contrary Research; Crunchbase</t>
        </is>
      </c>
      <c r="C6" s="26" t="inlineStr">
        <is>
          <t>globenewswire.com; research.contrary.com/company/traba</t>
        </is>
      </c>
      <c r="D6" s="34" t="inlineStr">
        <is>
          <t>VERIFIED Jul 6, 2026</t>
        </is>
      </c>
    </row>
    <row r="7" ht="40" customHeight="1">
      <c r="A7" s="55" t="inlineStr">
        <is>
          <t>Construction shortage: 439,000 workers needed 2025; 2026 projections 350-500k; 41% retiring by 2031</t>
        </is>
      </c>
      <c r="B7" s="26" t="inlineStr">
        <is>
          <t>ABC (Associated Builders &amp; Contractors); NCCER; Construction Dive</t>
        </is>
      </c>
      <c r="C7" s="26" t="inlineStr">
        <is>
          <t>abc.org/News-Media/News-Releases; constructiondive.com</t>
        </is>
      </c>
      <c r="D7" s="34" t="inlineStr">
        <is>
          <t>VERIFIED Jul 6, 2026</t>
        </is>
      </c>
    </row>
    <row r="8" ht="40" customHeight="1">
      <c r="A8" s="26" t="inlineStr">
        <is>
          <t>US staffing industry ~$190B revenue</t>
        </is>
      </c>
      <c r="B8" s="26" t="inlineStr">
        <is>
          <t>SIA (Staffing Industry Analysts) annual forecasts</t>
        </is>
      </c>
      <c r="C8" s="26" t="inlineStr">
        <is>
          <t>staffingindustry.com</t>
        </is>
      </c>
      <c r="D8" s="35" t="inlineStr">
        <is>
          <t>Early-2026 knowledge - re-verify</t>
        </is>
      </c>
    </row>
    <row r="9" ht="40" customHeight="1">
      <c r="A9" s="55" t="inlineStr">
        <is>
          <t>Wonolo: ~$140M raised, 1M+ workers; classification pressure</t>
        </is>
      </c>
      <c r="B9" s="26" t="inlineStr">
        <is>
          <t>Crunchbase; press coverage</t>
        </is>
      </c>
      <c r="C9" s="26" t="inlineStr">
        <is>
          <t>crunchbase.com/organization/wonolo</t>
        </is>
      </c>
      <c r="D9" s="35" t="inlineStr">
        <is>
          <t>Early-2026 knowledge - re-verify</t>
        </is>
      </c>
    </row>
    <row r="10" ht="40" customHeight="1">
      <c r="A10" s="26" t="inlineStr">
        <is>
          <t>Indeed Flex: W-2 staffing arm of Indeed/Recruit Holdings</t>
        </is>
      </c>
      <c r="B10" s="26" t="inlineStr">
        <is>
          <t>Indeed Flex site; press</t>
        </is>
      </c>
      <c r="C10" s="26" t="inlineStr">
        <is>
          <t>indeedflex.com</t>
        </is>
      </c>
      <c r="D10" s="35" t="inlineStr">
        <is>
          <t>Early-2026 knowledge - re-verify</t>
        </is>
      </c>
    </row>
    <row r="11" ht="40" customHeight="1">
      <c r="A11" s="55" t="inlineStr">
        <is>
          <t>Workrise: ~$750M raised; pivoted toward services/supply chain</t>
        </is>
      </c>
      <c r="B11" s="26" t="inlineStr">
        <is>
          <t>Crunchbase; press coverage</t>
        </is>
      </c>
      <c r="C11" s="26" t="inlineStr">
        <is>
          <t>crunchbase.com/organization/workrise</t>
        </is>
      </c>
      <c r="D11" s="35" t="inlineStr">
        <is>
          <t>Early-2026 knowledge - re-verify</t>
        </is>
      </c>
    </row>
    <row r="12" ht="40" customHeight="1">
      <c r="A12" s="26" t="inlineStr">
        <is>
          <t>BlueRecruit: seed-stage (~$5M), skilled-trades direct-hire niche</t>
        </is>
      </c>
      <c r="B12" s="26" t="inlineStr">
        <is>
          <t>Crunchbase</t>
        </is>
      </c>
      <c r="C12" s="26" t="inlineStr">
        <is>
          <t>crunchbase.com/organization/bluerecruit</t>
        </is>
      </c>
      <c r="D12" s="35" t="inlineStr">
        <is>
          <t>Early-2026 knowledge - re-verify</t>
        </is>
      </c>
    </row>
    <row r="13" ht="40" customHeight="1">
      <c r="A13" s="55" t="inlineStr">
        <is>
          <t>Semiconductor fab technician shortfall 60-90k by 2030</t>
        </is>
      </c>
      <c r="B13" s="26" t="inlineStr">
        <is>
          <t>SIA/Oxford Economics chip workforce study; McKinsey</t>
        </is>
      </c>
      <c r="C13" s="26" t="inlineStr">
        <is>
          <t>semiconductors.org workforce report</t>
        </is>
      </c>
      <c r="D13" s="35" t="inlineStr">
        <is>
          <t>Early-2026 knowledge - re-verify</t>
        </is>
      </c>
    </row>
    <row r="14" ht="40" customHeight="1">
      <c r="A14" s="26" t="inlineStr">
        <is>
          <t>Healthcare aides: ~800k+ openings/yr, fastest-growing occupations</t>
        </is>
      </c>
      <c r="B14" s="26" t="inlineStr">
        <is>
          <t>BLS Occupational Outlook Handbook</t>
        </is>
      </c>
      <c r="C14" s="26" t="inlineStr">
        <is>
          <t>bls.gov/ooh</t>
        </is>
      </c>
      <c r="D14" s="35" t="inlineStr">
        <is>
          <t>Early-2026 knowledge - re-verify</t>
        </is>
      </c>
    </row>
    <row r="15" ht="40" customHeight="1">
      <c r="A15" s="55" t="inlineStr">
        <is>
          <t>Welder shortfall 300-400k by late 2020s</t>
        </is>
      </c>
      <c r="B15" s="26" t="inlineStr">
        <is>
          <t>American Welding Society (AWS) workforce data</t>
        </is>
      </c>
      <c r="C15" s="26" t="inlineStr">
        <is>
          <t>aws.org</t>
        </is>
      </c>
      <c r="D15" s="35" t="inlineStr">
        <is>
          <t>Early-2026 knowledge - re-verify</t>
        </is>
      </c>
    </row>
    <row r="16" ht="40" customHeight="1">
      <c r="A16" s="26" t="inlineStr">
        <is>
          <t>All Rivet x Crewline product claims (tabs 01a, 04)</t>
        </is>
      </c>
      <c r="B16" s="26" t="inlineStr">
        <is>
          <t>Direct code inspection, local E2E tests, live probes of rivet-crewline.onrender.com</t>
        </is>
      </c>
      <c r="C16" s="26" t="inlineStr">
        <is>
          <t>github.com/KaryampudiMadhav/rivet-crewline</t>
        </is>
      </c>
      <c r="D16" s="34" t="inlineStr">
        <is>
          <t>VERIFIED continuously this week</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6" customWidth="1" min="1" max="1"/>
    <col width="44" customWidth="1" min="2" max="2"/>
    <col width="26" customWidth="1" min="3" max="3"/>
    <col width="26" customWidth="1" min="4" max="4"/>
    <col width="26" customWidth="1" min="5" max="5"/>
  </cols>
  <sheetData>
    <row r="1" ht="30" customHeight="1">
      <c r="A1" s="1" t="inlineStr">
        <is>
          <t>09 - The numbers that matter: KPI targets for the next two quarters</t>
        </is>
      </c>
    </row>
    <row r="2" ht="22" customHeight="1">
      <c r="A2" s="2" t="inlineStr">
        <is>
          <t>If a metric is not on this list, it is a vanity metric. Review weekly.</t>
        </is>
      </c>
    </row>
    <row r="4" ht="26" customHeight="1">
      <c r="A4" s="6" t="inlineStr">
        <is>
          <t>Metric</t>
        </is>
      </c>
      <c r="B4" s="6" t="inlineStr">
        <is>
          <t>Definition</t>
        </is>
      </c>
      <c r="C4" s="6" t="inlineStr">
        <is>
          <t>Today (Jul 2026)</t>
        </is>
      </c>
      <c r="D4" s="6" t="inlineStr">
        <is>
          <t>Target @ 90 days</t>
        </is>
      </c>
      <c r="E4" s="6" t="inlineStr">
        <is>
          <t>Target @ 6 months</t>
        </is>
      </c>
    </row>
    <row r="5" ht="34" customHeight="1">
      <c r="A5" s="56" t="inlineStr">
        <is>
          <t>Verified workers</t>
        </is>
      </c>
      <c r="B5" s="28" t="inlineStr">
        <is>
          <t>Workers with &gt;=1 credential verified by real review (not demo auto-verify)</t>
        </is>
      </c>
      <c r="C5" s="57" t="inlineStr">
        <is>
          <t>0 (verification is demo)</t>
        </is>
      </c>
      <c r="D5" s="58" t="inlineStr">
        <is>
          <t>200 (Phoenix)</t>
        </is>
      </c>
      <c r="E5" s="59" t="inlineStr">
        <is>
          <t>600</t>
        </is>
      </c>
    </row>
    <row r="6" ht="34" customHeight="1">
      <c r="A6" s="27" t="inlineStr">
        <is>
          <t>Weekly active workers</t>
        </is>
      </c>
      <c r="B6" s="28" t="inlineStr">
        <is>
          <t>Workers with &gt;=1 session/wk</t>
        </is>
      </c>
      <c r="C6" s="57" t="inlineStr">
        <is>
          <t>~0 (pre-launch)</t>
        </is>
      </c>
      <c r="D6" s="58" t="inlineStr">
        <is>
          <t>150</t>
        </is>
      </c>
      <c r="E6" s="59" t="inlineStr">
        <is>
          <t>500</t>
        </is>
      </c>
    </row>
    <row r="7" ht="34" customHeight="1">
      <c r="A7" s="56" t="inlineStr">
        <is>
          <t>Paying employers</t>
        </is>
      </c>
      <c r="B7" s="28" t="inlineStr">
        <is>
          <t>Employers billed &gt;= $1</t>
        </is>
      </c>
      <c r="C7" s="57" t="inlineStr">
        <is>
          <t>0</t>
        </is>
      </c>
      <c r="D7" s="58" t="inlineStr">
        <is>
          <t>3 design partners converting</t>
        </is>
      </c>
      <c r="E7" s="59" t="inlineStr">
        <is>
          <t>15</t>
        </is>
      </c>
    </row>
    <row r="8" ht="34" customHeight="1">
      <c r="A8" s="27" t="inlineStr">
        <is>
          <t>Fill rate (shifts)</t>
        </is>
      </c>
      <c r="B8" s="28" t="inlineStr">
        <is>
          <t>Claimed shifts / posted shifts</t>
        </is>
      </c>
      <c r="C8" s="57" t="inlineStr">
        <is>
          <t>n/a (no paid shifts)</t>
        </is>
      </c>
      <c r="D8" s="58" t="inlineStr">
        <is>
          <t>70%</t>
        </is>
      </c>
      <c r="E8" s="59" t="inlineStr">
        <is>
          <t>85% (Instawork-class)</t>
        </is>
      </c>
    </row>
    <row r="9" ht="34" customHeight="1">
      <c r="A9" s="56" t="inlineStr">
        <is>
          <t>Time-to-fill (jobs)</t>
        </is>
      </c>
      <c r="B9" s="28" t="inlineStr">
        <is>
          <t>Post -&gt; first qualified applicant</t>
        </is>
      </c>
      <c r="C9" s="58" t="inlineStr">
        <is>
          <t>minutes (seeded pool)</t>
        </is>
      </c>
      <c r="D9" s="58" t="inlineStr">
        <is>
          <t>&lt; 24h with real pool</t>
        </is>
      </c>
      <c r="E9" s="59" t="inlineStr">
        <is>
          <t>&lt; 4h</t>
        </is>
      </c>
    </row>
    <row r="10" ht="34" customHeight="1">
      <c r="A10" s="27" t="inlineStr">
        <is>
          <t>Show-Up rate</t>
        </is>
      </c>
      <c r="B10" s="28" t="inlineStr">
        <is>
          <t>Showed / claimed (already instrumented in-app!)</t>
        </is>
      </c>
      <c r="C10" s="58" t="inlineStr">
        <is>
          <t>instrumented, no volume</t>
        </is>
      </c>
      <c r="D10" s="58" t="inlineStr">
        <is>
          <t>&gt; 90%</t>
        </is>
      </c>
      <c r="E10" s="59" t="inlineStr">
        <is>
          <t>&gt; 95%</t>
        </is>
      </c>
    </row>
    <row r="11" ht="34" customHeight="1">
      <c r="A11" s="56" t="inlineStr">
        <is>
          <t>Placement revenue</t>
        </is>
      </c>
      <c r="B11" s="28" t="inlineStr">
        <is>
          <t>Direct-hire fees collected</t>
        </is>
      </c>
      <c r="C11" s="57" t="inlineStr">
        <is>
          <t>$0</t>
        </is>
      </c>
      <c r="D11" s="58" t="inlineStr">
        <is>
          <t>first paid placement</t>
        </is>
      </c>
      <c r="E11" s="59" t="inlineStr">
        <is>
          <t>$15k/mo</t>
        </is>
      </c>
    </row>
    <row r="12" ht="34" customHeight="1">
      <c r="A12" s="27" t="inlineStr">
        <is>
          <t>Shift take revenue</t>
        </is>
      </c>
      <c r="B12" s="28" t="inlineStr">
        <is>
          <t>GMV x take rate</t>
        </is>
      </c>
      <c r="C12" s="57" t="inlineStr">
        <is>
          <t>$0</t>
        </is>
      </c>
      <c r="D12" s="58" t="inlineStr">
        <is>
          <t>pilot live</t>
        </is>
      </c>
      <c r="E12" s="59" t="inlineStr">
        <is>
          <t>$30k/mo run-rate</t>
        </is>
      </c>
    </row>
    <row r="13" ht="34" customHeight="1">
      <c r="A13" s="56" t="inlineStr">
        <is>
          <t>Worker D30 retention</t>
        </is>
      </c>
      <c r="B13" s="28" t="inlineStr">
        <is>
          <t>Workers active 30d after signup</t>
        </is>
      </c>
      <c r="C13" s="57" t="inlineStr">
        <is>
          <t>n/a</t>
        </is>
      </c>
      <c r="D13" s="58" t="inlineStr">
        <is>
          <t>35%</t>
        </is>
      </c>
      <c r="E13" s="59" t="inlineStr">
        <is>
          <t>45%</t>
        </is>
      </c>
    </row>
    <row r="14" ht="34" customHeight="1">
      <c r="A14" s="27" t="inlineStr">
        <is>
          <t>Verification turnaround</t>
        </is>
      </c>
      <c r="B14" s="28" t="inlineStr">
        <is>
          <t>Credential submitted -&gt; verified</t>
        </is>
      </c>
      <c r="C14" s="57" t="inlineStr">
        <is>
          <t>n/a</t>
        </is>
      </c>
      <c r="D14" s="58" t="inlineStr">
        <is>
          <t>&lt; 48h (manual)</t>
        </is>
      </c>
      <c r="E14" s="59" t="inlineStr">
        <is>
          <t>&lt; 24h (80% automated)</t>
        </is>
      </c>
    </row>
    <row r="15" ht="34" customHeight="1">
      <c r="A15" s="56" t="inlineStr">
        <is>
          <t>Email OTP delivery success</t>
        </is>
      </c>
      <c r="B15" s="28" t="inlineStr">
        <is>
          <t>Codes delivered / requested (healthz + Brevo stats)</t>
        </is>
      </c>
      <c r="C15" s="57" t="inlineStr">
        <is>
          <t>blocked (needs Brevo key)</t>
        </is>
      </c>
      <c r="D15" s="58" t="inlineStr">
        <is>
          <t>&gt; 98%</t>
        </is>
      </c>
      <c r="E15" s="59" t="inlineStr">
        <is>
          <t>&gt; 98%</t>
        </is>
      </c>
    </row>
    <row r="16" ht="34" customHeight="1">
      <c r="A16" s="27" t="inlineStr">
        <is>
          <t>Infra cost / month</t>
        </is>
      </c>
      <c r="B16" s="28" t="inlineStr">
        <is>
          <t>All hosting + services</t>
        </is>
      </c>
      <c r="C16" s="57" t="inlineStr">
        <is>
          <t>$0</t>
        </is>
      </c>
      <c r="D16" s="58" t="inlineStr">
        <is>
          <t>&lt; $50</t>
        </is>
      </c>
      <c r="E16" s="59" t="inlineStr">
        <is>
          <t>&lt; $300</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2026-07-06T08:13:50Z</dcterms:created>
  <dcterms:modified xsi:type="dcterms:W3CDTF">2026-07-07T12:50:11Z</dcterms:modified>
</cp:coreProperties>
</file>